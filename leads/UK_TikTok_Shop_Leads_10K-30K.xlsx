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UK Leads" sheetId="2" state="visible" r:id="rId4"/>
    <sheet name="Category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<sst xmlns="http://schemas.openxmlformats.org/spreadsheetml/2006/main" count="4719" uniqueCount="2054">
  <si>
    <t xml:space="preserve">UK TikTok Shop lead list – shops doing £10K–£30K</t>
  </si>
  <si>
    <t xml:space="preserve">Source: FastMoss MCP, monthly shop rankings for TikTok Shop UK (region GB), period = September 2026 (latest completed month; closest available to "last 28 days").</t>
  </si>
  <si>
    <t xml:space="preserve">Pulled: 8 Oct 2026. All money values are GBP as reported by FastMoss.</t>
  </si>
  <si>
    <t xml:space="preserve">How it was built</t>
  </si>
  <si>
    <t xml:space="preserve">• FastMoss has no GMV-range filter, and each ranking stops at 500 shops. The overall UK ranking bottoms out at ~£36K, so £10–30K shops only appear inside category rankings.</t>
  </si>
  <si>
    <t xml:space="preserve">• One ranking page (10 shops) was pulled per category at the depth where GMV falls into £10–30K. Only shops inside the band were kept.</t>
  </si>
  <si>
    <t xml:space="preserve">• This is a SAMPLE of each category's band, not every shop in it: the free trial allows ~100 credits/day and 1 page = 1 credit.</t>
  </si>
  <si>
    <t xml:space="preserve">Important caveat on GMV</t>
  </si>
  <si>
    <t xml:space="preserve">• "Sep-26 GMV in category" is the shop's sales WITHIN that category, not its total. Shops that sell across categories can be bigger overall.</t>
  </si>
  <si>
    <t xml:space="preserve">• Band confidence: High = ranked in its own main category; Medium = ranked outside its main category; Low = we saw evidence it is above £30K in total.</t>
  </si>
  <si>
    <t xml:space="preserve">• "UK overall rank (Sep)" is a useful cross-check: UK rank 500 ≈ £36K/month, so ranks well above ~700 are consistent with the band.</t>
  </si>
  <si>
    <t xml:space="preserve">Profile columns (TikTok handle → UK overall rank) were filled for 99 UK-based, high-confidence shops, spread across every category. The rest are blank to save credits.</t>
  </si>
  <si>
    <t xml:space="preserve">Contact data: FastMoss does not provide emails/phones for shops. The TikTok handle / profile URL is the outreach route; company name helps with Companies House / LinkedIn lookups.</t>
  </si>
  <si>
    <t xml:space="preserve">Coverage: 25 top-level categories, ~3 ranking pages each. Womenswear and Beauty have the deepest £10–30K bands, so they are the least complete. Books and other small categories were not probed.</t>
  </si>
  <si>
    <t xml:space="preserve">Update log: 9 Oct – added Shoes &amp; Luggage (17). 10 Oct trial batch – added Furniture and 2 more pages per category (+425 leads, 45 new profiles).</t>
  </si>
  <si>
    <t xml:space="preserve">Category (ranked in)</t>
  </si>
  <si>
    <t xml:space="preserve">Shop name</t>
  </si>
  <si>
    <t xml:space="preserve">Company / legal name</t>
  </si>
  <si>
    <t xml:space="preserve">Main category</t>
  </si>
  <si>
    <t xml:space="preserve">Shop type</t>
  </si>
  <si>
    <t xml:space="preserve">Sep-26 GMV in category (£)</t>
  </si>
  <si>
    <t xml:space="preserve">Units sold</t>
  </si>
  <si>
    <t xml:space="preserve">GMV MoM growth</t>
  </si>
  <si>
    <t xml:space="preserve">Units MoM growth</t>
  </si>
  <si>
    <t xml:space="preserve">Affiliate creators (Sep)</t>
  </si>
  <si>
    <t xml:space="preserve">Products with sales</t>
  </si>
  <si>
    <t xml:space="preserve">Active products</t>
  </si>
  <si>
    <t xml:space="preserve">Shop rating</t>
  </si>
  <si>
    <t xml:space="preserve">Band confidence</t>
  </si>
  <si>
    <t xml:space="preserve">Notes</t>
  </si>
  <si>
    <t xml:space="preserve">TikTok handle</t>
  </si>
  <si>
    <t xml:space="preserve">TikTok profile URL</t>
  </si>
  <si>
    <t xml:space="preserve">TikTok followers</t>
  </si>
  <si>
    <t xml:space="preserve">TikTok videos</t>
  </si>
  <si>
    <t xml:space="preserve">Shop created</t>
  </si>
  <si>
    <t xml:space="preserve">All-time GMV (£)</t>
  </si>
  <si>
    <t xml:space="preserve">All-time units</t>
  </si>
  <si>
    <t xml:space="preserve">Total products listed</t>
  </si>
  <si>
    <t xml:space="preserve">All-time affiliate creators</t>
  </si>
  <si>
    <t xml:space="preserve">All-time videos</t>
  </si>
  <si>
    <t xml:space="preserve">All-time lives</t>
  </si>
  <si>
    <t xml:space="preserve">Min price (£)</t>
  </si>
  <si>
    <t xml:space="preserve">Max price (£)</t>
  </si>
  <si>
    <t xml:space="preserve">Avg price (£)</t>
  </si>
  <si>
    <t xml:space="preserve">Delivery rate</t>
  </si>
  <si>
    <t xml:space="preserve">Positive feedback</t>
  </si>
  <si>
    <t xml:space="preserve">Response rate</t>
  </si>
  <si>
    <t xml:space="preserve">Category rank (Sep)</t>
  </si>
  <si>
    <t xml:space="preserve">UK overall rank (Sep)</t>
  </si>
  <si>
    <t xml:space="preserve">Seller ID</t>
  </si>
  <si>
    <t xml:space="preserve">Automotive &amp; Motorcycle</t>
  </si>
  <si>
    <t xml:space="preserve">Joytutus GB</t>
  </si>
  <si>
    <t xml:space="preserve">GuangZhouZaoZhongWanDianZiShangWuYouXianGongSi</t>
  </si>
  <si>
    <t xml:space="preserve">Cross-border</t>
  </si>
  <si>
    <t xml:space="preserve">High</t>
  </si>
  <si>
    <t xml:space="preserve">8647193604911503559</t>
  </si>
  <si>
    <t xml:space="preserve">HAUDIO Global</t>
  </si>
  <si>
    <t xml:space="preserve">8647509933899094535</t>
  </si>
  <si>
    <t xml:space="preserve">TIDY MONSTER UK</t>
  </si>
  <si>
    <t xml:space="preserve">Home Supplies</t>
  </si>
  <si>
    <t xml:space="preserve">UK local</t>
  </si>
  <si>
    <t xml:space="preserve">Medium – may sell in other categories</t>
  </si>
  <si>
    <t xml:space="preserve">7496062834106337441</t>
  </si>
  <si>
    <t xml:space="preserve">rose origins shop</t>
  </si>
  <si>
    <t xml:space="preserve">MODAMAYSTATION LTD</t>
  </si>
  <si>
    <t xml:space="preserve">7496079384673160186</t>
  </si>
  <si>
    <t xml:space="preserve">Hieom One</t>
  </si>
  <si>
    <t xml:space="preserve">zmgh49shop</t>
  </si>
  <si>
    <t xml:space="preserve">https://www.tiktok.com/@zmgh49shop</t>
  </si>
  <si>
    <t xml:space="preserve">2025-10-10</t>
  </si>
  <si>
    <t xml:space="preserve">7494129241962152989</t>
  </si>
  <si>
    <t xml:space="preserve">Easy Trading</t>
  </si>
  <si>
    <t xml:space="preserve">Shenzhen Heyu Technology Co., Ltd.</t>
  </si>
  <si>
    <t xml:space="preserve">7495159456203376895</t>
  </si>
  <si>
    <t xml:space="preserve">Sisocor</t>
  </si>
  <si>
    <t xml:space="preserve">sisuocor</t>
  </si>
  <si>
    <t xml:space="preserve">https://www.tiktok.com/@sisuocor</t>
  </si>
  <si>
    <t xml:space="preserve">2024-10-23</t>
  </si>
  <si>
    <t xml:space="preserve">7495918070877490097</t>
  </si>
  <si>
    <t xml:space="preserve">Yass Clean</t>
  </si>
  <si>
    <t xml:space="preserve">Yass Clean Ltd</t>
  </si>
  <si>
    <t xml:space="preserve">7495888481436796939</t>
  </si>
  <si>
    <t xml:space="preserve">Purify Studio</t>
  </si>
  <si>
    <t xml:space="preserve">Toys &amp; Hobbies</t>
  </si>
  <si>
    <t xml:space="preserve">7494582845016540760</t>
  </si>
  <si>
    <t xml:space="preserve">HPBSDirect</t>
  </si>
  <si>
    <t xml:space="preserve">8648843511193442526</t>
  </si>
  <si>
    <t xml:space="preserve">Rituals Cosmetics UK</t>
  </si>
  <si>
    <t xml:space="preserve">Rituals Cosmetics UK Limited</t>
  </si>
  <si>
    <t xml:space="preserve">Beauty &amp; Personal Care</t>
  </si>
  <si>
    <t xml:space="preserve">7496086448237808556</t>
  </si>
  <si>
    <t xml:space="preserve">The Dustpan and Brush Store</t>
  </si>
  <si>
    <t xml:space="preserve">Flintoft Ironmongers Limited</t>
  </si>
  <si>
    <t xml:space="preserve">7494635261051046789</t>
  </si>
  <si>
    <t xml:space="preserve">TOPK Store</t>
  </si>
  <si>
    <t xml:space="preserve">Dongguan Chenxun Electronics Co.</t>
  </si>
  <si>
    <t xml:space="preserve">7495153591421995943</t>
  </si>
  <si>
    <t xml:space="preserve">Deeptik</t>
  </si>
  <si>
    <t xml:space="preserve">Tools &amp; Hardware</t>
  </si>
  <si>
    <t xml:space="preserve">8647628311637563507</t>
  </si>
  <si>
    <t xml:space="preserve">Sleek Chic Habitat</t>
  </si>
  <si>
    <t xml:space="preserve">Yiwu Yiye E-commerce Firm (Individual Industrial and Commercial Household)</t>
  </si>
  <si>
    <t xml:space="preserve">7495612981806598492</t>
  </si>
  <si>
    <t xml:space="preserve">VANTE Simple Style</t>
  </si>
  <si>
    <t xml:space="preserve">7494599174730450593</t>
  </si>
  <si>
    <t xml:space="preserve">PWACCS</t>
  </si>
  <si>
    <t xml:space="preserve">Taizhou Xingxing Technology Co., Ltd.</t>
  </si>
  <si>
    <t xml:space="preserve">7495469454324697971</t>
  </si>
  <si>
    <t xml:space="preserve">HIEHA GB</t>
  </si>
  <si>
    <t xml:space="preserve">7496322908426700905</t>
  </si>
  <si>
    <t xml:space="preserve">British Home &amp; Co</t>
  </si>
  <si>
    <t xml:space="preserve">Opliva</t>
  </si>
  <si>
    <t xml:space="preserve">stephen30715</t>
  </si>
  <si>
    <t xml:space="preserve">https://www.tiktok.com/@stephen30715</t>
  </si>
  <si>
    <t xml:space="preserve">2025-08-22</t>
  </si>
  <si>
    <t xml:space="preserve">7496283285345045059</t>
  </si>
  <si>
    <t xml:space="preserve">Tech Upgrade's</t>
  </si>
  <si>
    <t xml:space="preserve">7494235120950674922</t>
  </si>
  <si>
    <t xml:space="preserve">Living Hut</t>
  </si>
  <si>
    <t xml:space="preserve">LIMAR TRADING LTD</t>
  </si>
  <si>
    <t xml:space="preserve">7495835755861478195</t>
  </si>
  <si>
    <t xml:space="preserve">NOPNOG Auto Parts Store</t>
  </si>
  <si>
    <t xml:space="preserve">Shenzhen Youshizhi Network Technology Co., Ltd.</t>
  </si>
  <si>
    <t xml:space="preserve">7495153555491228068</t>
  </si>
  <si>
    <t xml:space="preserve">WLW Brands</t>
  </si>
  <si>
    <t xml:space="preserve">Wilson Lendrum and Weir</t>
  </si>
  <si>
    <t xml:space="preserve">wlwbrands</t>
  </si>
  <si>
    <t xml:space="preserve">https://www.tiktok.com/@wlwbrands</t>
  </si>
  <si>
    <t xml:space="preserve">2023-07-26</t>
  </si>
  <si>
    <t xml:space="preserve">7495167007510792832</t>
  </si>
  <si>
    <t xml:space="preserve">CAR PLAY STATION1</t>
  </si>
  <si>
    <t xml:space="preserve">Shenzhen Jintao Weiye Technology Co Ltd</t>
  </si>
  <si>
    <t xml:space="preserve">7496159873084262461</t>
  </si>
  <si>
    <t xml:space="preserve">RedtigerDashcam</t>
  </si>
  <si>
    <t xml:space="preserve">7494542225985996081</t>
  </si>
  <si>
    <t xml:space="preserve">CELANOVARA</t>
  </si>
  <si>
    <t xml:space="preserve">Ruian Mi Quan Electronic Commerce Co., Ltd.</t>
  </si>
  <si>
    <t xml:space="preserve">7495396318965959307</t>
  </si>
  <si>
    <t xml:space="preserve">Baby &amp; Maternity</t>
  </si>
  <si>
    <t xml:space="preserve">VANS EUROPE</t>
  </si>
  <si>
    <t xml:space="preserve">Shoes</t>
  </si>
  <si>
    <t xml:space="preserve">Global brand (Vans) – main category Shoes; likely bigger overall</t>
  </si>
  <si>
    <t xml:space="preserve">7494155686445811347</t>
  </si>
  <si>
    <t xml:space="preserve">SHARWOOD</t>
  </si>
  <si>
    <t xml:space="preserve">7496303172303030570</t>
  </si>
  <si>
    <t xml:space="preserve">Sweet Dreamers</t>
  </si>
  <si>
    <t xml:space="preserve">SWEET DREAMERS LIMITED</t>
  </si>
  <si>
    <t xml:space="preserve">7494083733059307404</t>
  </si>
  <si>
    <t xml:space="preserve">mcc outlet</t>
  </si>
  <si>
    <t xml:space="preserve">mcc trading ltd</t>
  </si>
  <si>
    <t xml:space="preserve">Furniture</t>
  </si>
  <si>
    <t xml:space="preserve">Low – likely above £30K</t>
  </si>
  <si>
    <t xml:space="preserve">Main category Furniture, where it ranked ≈ £95.2K (Sep) → well above band</t>
  </si>
  <si>
    <t xml:space="preserve">7495431613874276819</t>
  </si>
  <si>
    <t xml:space="preserve">Cosatto</t>
  </si>
  <si>
    <t xml:space="preserve">Cosatto Limited</t>
  </si>
  <si>
    <t xml:space="preserve">7495031081965815819</t>
  </si>
  <si>
    <t xml:space="preserve">Pure Cove</t>
  </si>
  <si>
    <t xml:space="preserve">7496320039361612546</t>
  </si>
  <si>
    <t xml:space="preserve">Kaylalu</t>
  </si>
  <si>
    <t xml:space="preserve">Huizhou Lulu Technology Co., Ltd.</t>
  </si>
  <si>
    <t xml:space="preserve">7495153669066688752</t>
  </si>
  <si>
    <t xml:space="preserve">The Lejoux Stroller</t>
  </si>
  <si>
    <t xml:space="preserve">ELEGANT LIVING EUROPE LTD</t>
  </si>
  <si>
    <t xml:space="preserve">7494845746284628538</t>
  </si>
  <si>
    <t xml:space="preserve">Yolk Baby Store</t>
  </si>
  <si>
    <t xml:space="preserve">Pujiang County Furui Electronic Commerce Co., Ltd.</t>
  </si>
  <si>
    <t xml:space="preserve">7495563545389467829</t>
  </si>
  <si>
    <t xml:space="preserve">Bravellous Clothing</t>
  </si>
  <si>
    <t xml:space="preserve">Shenzhen Jinxingsheng Apparel Co., Ltd.</t>
  </si>
  <si>
    <t xml:space="preserve">7495287627779574005</t>
  </si>
  <si>
    <t xml:space="preserve">Zimpli Kids</t>
  </si>
  <si>
    <t xml:space="preserve">ZIMPLI KIDS LIMITED</t>
  </si>
  <si>
    <t xml:space="preserve">7495235322873678296</t>
  </si>
  <si>
    <t xml:space="preserve">BooBoo Baby Products</t>
  </si>
  <si>
    <t xml:space="preserve">IPUK Limited</t>
  </si>
  <si>
    <t xml:space="preserve">booboobabyproducts.com</t>
  </si>
  <si>
    <t xml:space="preserve">https://www.tiktok.com/@booboobabyproducts.com</t>
  </si>
  <si>
    <t xml:space="preserve">2024-08-31</t>
  </si>
  <si>
    <t xml:space="preserve">7495881815561832964</t>
  </si>
  <si>
    <t xml:space="preserve">Parents &amp; Peanuts</t>
  </si>
  <si>
    <t xml:space="preserve">7496010701964413451</t>
  </si>
  <si>
    <t xml:space="preserve">TRENDY HOUSEHOLDS</t>
  </si>
  <si>
    <t xml:space="preserve">HOUSEHOLD TRENDS LTD</t>
  </si>
  <si>
    <t xml:space="preserve">7496092059839465742</t>
  </si>
  <si>
    <t xml:space="preserve">LADIDA UK</t>
  </si>
  <si>
    <t xml:space="preserve">LADIDA (UK) BABY TOYS COMPANY LIMITED</t>
  </si>
  <si>
    <t xml:space="preserve">ladidatoystore</t>
  </si>
  <si>
    <t xml:space="preserve">https://www.tiktok.com/@ladidatoystore</t>
  </si>
  <si>
    <t xml:space="preserve">2024-02-25</t>
  </si>
  <si>
    <t xml:space="preserve">7495599747723463227</t>
  </si>
  <si>
    <t xml:space="preserve">lifeideas</t>
  </si>
  <si>
    <t xml:space="preserve">LAI BEAUTIFUL LTD</t>
  </si>
  <si>
    <t xml:space="preserve">Also £19.9K (Kitchenware) and £19.8K (Home Improvement) rankings → combined ≈ £58.7K</t>
  </si>
  <si>
    <t xml:space="preserve">7495530049968704292</t>
  </si>
  <si>
    <t xml:space="preserve">My Expert Midwife</t>
  </si>
  <si>
    <t xml:space="preserve">CHRISTMAS ANGELS LIMITED</t>
  </si>
  <si>
    <t xml:space="preserve">my_expertmidwife</t>
  </si>
  <si>
    <t xml:space="preserve">https://www.tiktok.com/@my_expertmidwife</t>
  </si>
  <si>
    <t xml:space="preserve">2023-12-19</t>
  </si>
  <si>
    <t xml:space="preserve">7495123108008462645</t>
  </si>
  <si>
    <t xml:space="preserve">Baby Toys Stop</t>
  </si>
  <si>
    <t xml:space="preserve">Dongguan Mingjia Trading Co., Ltd.</t>
  </si>
  <si>
    <t xml:space="preserve">7495160888994269822</t>
  </si>
  <si>
    <t xml:space="preserve">JF HOME</t>
  </si>
  <si>
    <t xml:space="preserve">JIANFENG LIMITED</t>
  </si>
  <si>
    <t xml:space="preserve">Also £23.7K in Sports &amp; Outdoor ranking → combined ≈ £42.0K</t>
  </si>
  <si>
    <t xml:space="preserve">7496020773479155719</t>
  </si>
  <si>
    <t xml:space="preserve">Homelife Factory</t>
  </si>
  <si>
    <t xml:space="preserve">BUNNEJKASH LIMITED</t>
  </si>
  <si>
    <t xml:space="preserve">Home Improvement</t>
  </si>
  <si>
    <t xml:space="preserve">Also ranked ≈ £50.3K in Home Improvement (Sep) → well above band</t>
  </si>
  <si>
    <t xml:space="preserve">7496135721839659790</t>
  </si>
  <si>
    <t xml:space="preserve">MhstarUK</t>
  </si>
  <si>
    <t xml:space="preserve">MH STAR UK LTD</t>
  </si>
  <si>
    <t xml:space="preserve">Also £27.0K (Sports) and £18.2K (Pet) → combined ≈ £63.0K</t>
  </si>
  <si>
    <t xml:space="preserve">7494169580724128201</t>
  </si>
  <si>
    <t xml:space="preserve">Xsnow falcon</t>
  </si>
  <si>
    <t xml:space="preserve">Zhejiang Qiansheng Fushi Co., Ltd.</t>
  </si>
  <si>
    <t xml:space="preserve">7495391505936910779</t>
  </si>
  <si>
    <t xml:space="preserve">My first style</t>
  </si>
  <si>
    <t xml:space="preserve">myfirststyle</t>
  </si>
  <si>
    <t xml:space="preserve">https://www.tiktok.com/@myfirststyle</t>
  </si>
  <si>
    <t xml:space="preserve">2023-05-26</t>
  </si>
  <si>
    <t xml:space="preserve">7494909120769460549</t>
  </si>
  <si>
    <t xml:space="preserve">MOLLIS</t>
  </si>
  <si>
    <t xml:space="preserve">Hangzhou Zhenqi Hygiene Products Co., Ltd</t>
  </si>
  <si>
    <t xml:space="preserve">7496181454983236002</t>
  </si>
  <si>
    <t xml:space="preserve">MBD CLOTHING</t>
  </si>
  <si>
    <t xml:space="preserve">mbd_clothing</t>
  </si>
  <si>
    <t xml:space="preserve">https://www.tiktok.com/@mbd_clothing</t>
  </si>
  <si>
    <t xml:space="preserve">2023-06-27</t>
  </si>
  <si>
    <t xml:space="preserve">7494701631202035824</t>
  </si>
  <si>
    <t xml:space="preserve">Tiny Trails</t>
  </si>
  <si>
    <t xml:space="preserve">7494230849397622600</t>
  </si>
  <si>
    <t xml:space="preserve">Hobbledehoo</t>
  </si>
  <si>
    <t xml:space="preserve">Megswell Limited</t>
  </si>
  <si>
    <t xml:space="preserve">7495805918279338743</t>
  </si>
  <si>
    <t xml:space="preserve">Sculpted by Aimee</t>
  </si>
  <si>
    <t xml:space="preserve">Sculpted by Aimee uk Ltd</t>
  </si>
  <si>
    <t xml:space="preserve">Verified shop-wide last-28-day GMV = £33,617 (56.9% product card, 43.1% affiliate)</t>
  </si>
  <si>
    <t xml:space="preserve">sculptedbyaimeestore</t>
  </si>
  <si>
    <t xml:space="preserve">https://www.tiktok.com/@sculptedbyaimeestore</t>
  </si>
  <si>
    <t xml:space="preserve">2023-12-15</t>
  </si>
  <si>
    <t xml:space="preserve">7495320015950547394</t>
  </si>
  <si>
    <t xml:space="preserve">Hanri Cosmetics</t>
  </si>
  <si>
    <t xml:space="preserve">Guangzhou Hanri Cosmetics Co., Ltd.</t>
  </si>
  <si>
    <t xml:space="preserve">7495159724612159689</t>
  </si>
  <si>
    <t xml:space="preserve">FENG CHOICE</t>
  </si>
  <si>
    <t xml:space="preserve">Qianfeng (Guangzhou) Internet Technology Co., Ltd.</t>
  </si>
  <si>
    <t xml:space="preserve">7495434520405379954</t>
  </si>
  <si>
    <t xml:space="preserve">Yilian Cosmetics</t>
  </si>
  <si>
    <t xml:space="preserve">Guangzhou Yilian Cosmetics Co., Ltd.</t>
  </si>
  <si>
    <t xml:space="preserve">7495153641518238038</t>
  </si>
  <si>
    <t xml:space="preserve">ZH Nail salon</t>
  </si>
  <si>
    <t xml:space="preserve">Yiwu Zhihui Trading Firm</t>
  </si>
  <si>
    <t xml:space="preserve">7495273147818412298</t>
  </si>
  <si>
    <t xml:space="preserve">TRESemme</t>
  </si>
  <si>
    <t xml:space="preserve">No linked TikTok brand account found</t>
  </si>
  <si>
    <t xml:space="preserve">2026-05-12</t>
  </si>
  <si>
    <t xml:space="preserve">7494525449531590599</t>
  </si>
  <si>
    <t xml:space="preserve">Ellie Young Beauty LTD</t>
  </si>
  <si>
    <t xml:space="preserve">7495064013017614355</t>
  </si>
  <si>
    <t xml:space="preserve">Sunless by Jimmy Coco UK</t>
  </si>
  <si>
    <t xml:space="preserve">7496230538577152835</t>
  </si>
  <si>
    <t xml:space="preserve">Pacifiscs-UK</t>
  </si>
  <si>
    <t xml:space="preserve">7495836632945428632</t>
  </si>
  <si>
    <t xml:space="preserve">Horbaach UK</t>
  </si>
  <si>
    <t xml:space="preserve">Piping Rock UK Limited</t>
  </si>
  <si>
    <t xml:space="preserve">Health</t>
  </si>
  <si>
    <t xml:space="preserve">7495687466200369533</t>
  </si>
  <si>
    <t xml:space="preserve">Mallows</t>
  </si>
  <si>
    <t xml:space="preserve">7494510089494890115</t>
  </si>
  <si>
    <t xml:space="preserve">BLOOMMIX</t>
  </si>
  <si>
    <t xml:space="preserve">poppys332</t>
  </si>
  <si>
    <t xml:space="preserve">https://www.tiktok.com/@poppys332</t>
  </si>
  <si>
    <t xml:space="preserve">2025-09-27</t>
  </si>
  <si>
    <t xml:space="preserve">7496303388086864432</t>
  </si>
  <si>
    <t xml:space="preserve">LACTOmedi</t>
  </si>
  <si>
    <t xml:space="preserve">2026-05-16</t>
  </si>
  <si>
    <t xml:space="preserve">7494644199581058663</t>
  </si>
  <si>
    <t xml:space="preserve">NOVO OVO Nails</t>
  </si>
  <si>
    <t xml:space="preserve">Novo Ovo Shenzhen Cosmetics Co.,Ltd.</t>
  </si>
  <si>
    <t xml:space="preserve">7496099128061299639</t>
  </si>
  <si>
    <t xml:space="preserve">sofragrance</t>
  </si>
  <si>
    <t xml:space="preserve">INCOS LIMITED</t>
  </si>
  <si>
    <t xml:space="preserve">7495827636321422087</t>
  </si>
  <si>
    <t xml:space="preserve">gzolimy cosmetics</t>
  </si>
  <si>
    <t xml:space="preserve">Guangzhou Aolimei Cosmetics Co., Ltd.</t>
  </si>
  <si>
    <t xml:space="preserve">7495975730098637639</t>
  </si>
  <si>
    <t xml:space="preserve">Weekeinght</t>
  </si>
  <si>
    <t xml:space="preserve">Kitchenware</t>
  </si>
  <si>
    <t xml:space="preserve">Also £23.1K in Automotive ranking → combined ≈ £46.8K</t>
  </si>
  <si>
    <t xml:space="preserve">7494686896434349919</t>
  </si>
  <si>
    <t xml:space="preserve">GAOYU STAR</t>
  </si>
  <si>
    <t xml:space="preserve">SHENZHEN GAOYU STAR TRADING CO LTD</t>
  </si>
  <si>
    <t xml:space="preserve">Also £22.6K (Home Improvement) and £14.6K (Household Appliances) → combined ≈ £60.8K</t>
  </si>
  <si>
    <t xml:space="preserve">7494991028040600241</t>
  </si>
  <si>
    <t xml:space="preserve">TONVVD</t>
  </si>
  <si>
    <t xml:space="preserve">Shenzhen Maiwode Technology Co., Ltd.</t>
  </si>
  <si>
    <t xml:space="preserve">7495161267940658045</t>
  </si>
  <si>
    <t xml:space="preserve">WALKTOTOP</t>
  </si>
  <si>
    <t xml:space="preserve">WALKTOTOP CREATIVE LTD</t>
  </si>
  <si>
    <t xml:space="preserve">Also £15.5K in Household Appliances ranking → combined ≈ £38.3K</t>
  </si>
  <si>
    <t xml:space="preserve">7496120993122912978</t>
  </si>
  <si>
    <t xml:space="preserve">houseofamoruk</t>
  </si>
  <si>
    <t xml:space="preserve">https://www.tiktok.com/@houseofamoruk</t>
  </si>
  <si>
    <t xml:space="preserve">2022-06-26</t>
  </si>
  <si>
    <t xml:space="preserve">7494557294615235116</t>
  </si>
  <si>
    <t xml:space="preserve">Beauty carves</t>
  </si>
  <si>
    <t xml:space="preserve">SHOAIBAKHTAR LTD</t>
  </si>
  <si>
    <t xml:space="preserve">7495150107092945291</t>
  </si>
  <si>
    <t xml:space="preserve">Weleda UK</t>
  </si>
  <si>
    <t xml:space="preserve">Weleda UK Limited.</t>
  </si>
  <si>
    <t xml:space="preserve">7494833995822631784</t>
  </si>
  <si>
    <t xml:space="preserve">Calm Haven Beauty</t>
  </si>
  <si>
    <t xml:space="preserve">calmhavenbeauty</t>
  </si>
  <si>
    <t xml:space="preserve">https://www.tiktok.com/@calmhavenbeauty</t>
  </si>
  <si>
    <t xml:space="preserve">2023-08-22</t>
  </si>
  <si>
    <t xml:space="preserve">7495182003854215240</t>
  </si>
  <si>
    <t xml:space="preserve">londoncosmetics1</t>
  </si>
  <si>
    <t xml:space="preserve">7494330099382781750</t>
  </si>
  <si>
    <t xml:space="preserve">Beautyturess Glow Studio</t>
  </si>
  <si>
    <t xml:space="preserve">BEAUTYTURESS LTD</t>
  </si>
  <si>
    <t xml:space="preserve">7496236880753560501</t>
  </si>
  <si>
    <t xml:space="preserve">SURI</t>
  </si>
  <si>
    <t xml:space="preserve">Coral Innovations Ltd</t>
  </si>
  <si>
    <t xml:space="preserve">7494670871576415019</t>
  </si>
  <si>
    <t xml:space="preserve">The Cheeky Panda Shop</t>
  </si>
  <si>
    <t xml:space="preserve">THE CHEEKY PANDA LIMITED</t>
  </si>
  <si>
    <t xml:space="preserve">7494635369593408258</t>
  </si>
  <si>
    <t xml:space="preserve">Excellent home appli</t>
  </si>
  <si>
    <t xml:space="preserve">Pingyang County Leixing Crafts Trading Firm</t>
  </si>
  <si>
    <t xml:space="preserve">Appears twice in Beauty ranking (units vs GMV sort) – same £21.2K figure</t>
  </si>
  <si>
    <t xml:space="preserve">7495625978765674959</t>
  </si>
  <si>
    <t xml:space="preserve">Glamnetic UK</t>
  </si>
  <si>
    <t xml:space="preserve">7494104088722376508</t>
  </si>
  <si>
    <t xml:space="preserve">Practical Perfections UK</t>
  </si>
  <si>
    <t xml:space="preserve">PRACTICAL PERFECTIONS LTD</t>
  </si>
  <si>
    <t xml:space="preserve">7496121259520395929</t>
  </si>
  <si>
    <t xml:space="preserve">Zoistar</t>
  </si>
  <si>
    <t xml:space="preserve">Fashion Accessories</t>
  </si>
  <si>
    <t xml:space="preserve">Also £14.3K in Fashion Accessories ranking → combined ≈ £26.7K (still in band)</t>
  </si>
  <si>
    <t xml:space="preserve">7494619105434174471</t>
  </si>
  <si>
    <t xml:space="preserve">Collectibles</t>
  </si>
  <si>
    <t xml:space="preserve">ACE HITS TCG LTD</t>
  </si>
  <si>
    <t xml:space="preserve">acehitstcg</t>
  </si>
  <si>
    <t xml:space="preserve">https://www.tiktok.com/@acehitstcg</t>
  </si>
  <si>
    <t xml:space="preserve">7494185371692270821</t>
  </si>
  <si>
    <t xml:space="preserve">Spens Pokestop</t>
  </si>
  <si>
    <t xml:space="preserve">TOP G'S LIMITED</t>
  </si>
  <si>
    <t xml:space="preserve">7494751408113355675</t>
  </si>
  <si>
    <t xml:space="preserve">BMJBREAKS</t>
  </si>
  <si>
    <t xml:space="preserve">7494638880325141702</t>
  </si>
  <si>
    <t xml:space="preserve">TCHewy Collectables</t>
  </si>
  <si>
    <t xml:space="preserve">7494665262943013477</t>
  </si>
  <si>
    <t xml:space="preserve">SportsMemorabilia.co.uk</t>
  </si>
  <si>
    <t xml:space="preserve">7496312090293537514</t>
  </si>
  <si>
    <t xml:space="preserve">Wiggyscollectables</t>
  </si>
  <si>
    <t xml:space="preserve">wiggyscollectables</t>
  </si>
  <si>
    <t xml:space="preserve">https://www.tiktok.com/@wiggyscollectables</t>
  </si>
  <si>
    <t xml:space="preserve">2023-07-20</t>
  </si>
  <si>
    <t xml:space="preserve">7494801336240933390</t>
  </si>
  <si>
    <t xml:space="preserve">PrestinePalaceTCG</t>
  </si>
  <si>
    <t xml:space="preserve">7494666354480155165</t>
  </si>
  <si>
    <t xml:space="preserve">Monster TCG</t>
  </si>
  <si>
    <t xml:space="preserve">7494764502796895239</t>
  </si>
  <si>
    <t xml:space="preserve">West London collectible's</t>
  </si>
  <si>
    <t xml:space="preserve">2026-05-09</t>
  </si>
  <si>
    <t xml:space="preserve">7494207440330851806</t>
  </si>
  <si>
    <t xml:space="preserve">Dreamy Cards</t>
  </si>
  <si>
    <t xml:space="preserve">7494398066551915778</t>
  </si>
  <si>
    <t xml:space="preserve">POP &amp; PULL UK</t>
  </si>
  <si>
    <t xml:space="preserve">7494735075157837261</t>
  </si>
  <si>
    <t xml:space="preserve">PokiePullz</t>
  </si>
  <si>
    <t xml:space="preserve">7495315505382787224</t>
  </si>
  <si>
    <t xml:space="preserve">Dadosaur TCG</t>
  </si>
  <si>
    <t xml:space="preserve">7495882377515862242</t>
  </si>
  <si>
    <t xml:space="preserve">AtticBreaks</t>
  </si>
  <si>
    <t xml:space="preserve">thepokeattic</t>
  </si>
  <si>
    <t xml:space="preserve">https://www.tiktok.com/@thepokeattic</t>
  </si>
  <si>
    <t xml:space="preserve">2023-05-27</t>
  </si>
  <si>
    <t xml:space="preserve">7494740638249814502</t>
  </si>
  <si>
    <t xml:space="preserve">Ripalot</t>
  </si>
  <si>
    <t xml:space="preserve">7494163123353585044</t>
  </si>
  <si>
    <t xml:space="preserve">ZERO LIMITS BREAKERS</t>
  </si>
  <si>
    <t xml:space="preserve">7494722009275336445</t>
  </si>
  <si>
    <t xml:space="preserve">Wen Qing Squishy-UK</t>
  </si>
  <si>
    <t xml:space="preserve">8647941238333937944</t>
  </si>
  <si>
    <t xml:space="preserve">The Real Autograph</t>
  </si>
  <si>
    <t xml:space="preserve">7494533985146537213</t>
  </si>
  <si>
    <t xml:space="preserve">Hex &amp; Holo</t>
  </si>
  <si>
    <t xml:space="preserve">7494707812361602612</t>
  </si>
  <si>
    <t xml:space="preserve">Hokey Poke Games</t>
  </si>
  <si>
    <t xml:space="preserve">PROACTIVE SYSTEMS LTD</t>
  </si>
  <si>
    <t xml:space="preserve">7495883480680729040</t>
  </si>
  <si>
    <t xml:space="preserve">POP MART SHOP UK</t>
  </si>
  <si>
    <t xml:space="preserve">POP MART UK CORPORATION LTD</t>
  </si>
  <si>
    <t xml:space="preserve">7496018615934355819</t>
  </si>
  <si>
    <t xml:space="preserve">THE POKEYDD TRADER</t>
  </si>
  <si>
    <t xml:space="preserve">7494622570610656290</t>
  </si>
  <si>
    <t xml:space="preserve">ChatBros Breaks</t>
  </si>
  <si>
    <t xml:space="preserve">7496132665001740752</t>
  </si>
  <si>
    <t xml:space="preserve">Artful Game Cards</t>
  </si>
  <si>
    <t xml:space="preserve">7494207104411404182</t>
  </si>
  <si>
    <t xml:space="preserve">Pitchside Pulls</t>
  </si>
  <si>
    <t xml:space="preserve">7494439218697373581</t>
  </si>
  <si>
    <t xml:space="preserve">Eclipse Gaming</t>
  </si>
  <si>
    <t xml:space="preserve">eclipse_gaming_ltd</t>
  </si>
  <si>
    <t xml:space="preserve">https://www.tiktok.com/@eclipse_gaming_ltd</t>
  </si>
  <si>
    <t xml:space="preserve">2022-12-09</t>
  </si>
  <si>
    <t xml:space="preserve">7494647286835612462</t>
  </si>
  <si>
    <t xml:space="preserve">Golden Football Cards</t>
  </si>
  <si>
    <t xml:space="preserve">7494424027961853717</t>
  </si>
  <si>
    <t xml:space="preserve">Shania Collectibles</t>
  </si>
  <si>
    <t xml:space="preserve">7494360399167456565</t>
  </si>
  <si>
    <t xml:space="preserve">Retrofootystickersncards</t>
  </si>
  <si>
    <t xml:space="preserve">7494802348954388753</t>
  </si>
  <si>
    <t xml:space="preserve">barestuff</t>
  </si>
  <si>
    <t xml:space="preserve">7494389891277555402</t>
  </si>
  <si>
    <t xml:space="preserve">Computers &amp; Office Equipment</t>
  </si>
  <si>
    <t xml:space="preserve">Rosexpress-Logistics</t>
  </si>
  <si>
    <t xml:space="preserve">Rosemond Stores LTD</t>
  </si>
  <si>
    <t xml:space="preserve">rosexpress_delivery_serv</t>
  </si>
  <si>
    <t xml:space="preserve">https://www.tiktok.com/@rosexpress_delivery_serv</t>
  </si>
  <si>
    <t xml:space="preserve">2025-08-19</t>
  </si>
  <si>
    <t xml:space="preserve">7495809559631857717</t>
  </si>
  <si>
    <t xml:space="preserve">Ugreen UK</t>
  </si>
  <si>
    <t xml:space="preserve">Phones &amp; Electronics</t>
  </si>
  <si>
    <t xml:space="preserve">Also £16.2K in Automotive ranking → combined ≈ £42.8K</t>
  </si>
  <si>
    <t xml:space="preserve">7494489357146359709</t>
  </si>
  <si>
    <t xml:space="preserve">DK Bookking</t>
  </si>
  <si>
    <t xml:space="preserve">Pingyang County Daokang Electronic Commerce Business Firm</t>
  </si>
  <si>
    <t xml:space="preserve">7496136867047508965</t>
  </si>
  <si>
    <t xml:space="preserve">BumbleBrush</t>
  </si>
  <si>
    <t xml:space="preserve">Zhanggong District Art Painting Electronic Studio (Individual Industrial and Commercial)</t>
  </si>
  <si>
    <t xml:space="preserve">7495980972160354526</t>
  </si>
  <si>
    <t xml:space="preserve">GOGOTOY</t>
  </si>
  <si>
    <t xml:space="preserve">Shenzhen Le Fu Xin Technology Co., Ltd.</t>
  </si>
  <si>
    <t xml:space="preserve">7495531069062482172</t>
  </si>
  <si>
    <t xml:space="preserve">Artisanal Bargains</t>
  </si>
  <si>
    <t xml:space="preserve">Foshan Wakagada Trading Co., Ltd.</t>
  </si>
  <si>
    <t xml:space="preserve">7495802103756261957</t>
  </si>
  <si>
    <t xml:space="preserve">LumiKidzStore</t>
  </si>
  <si>
    <t xml:space="preserve">8647791495452924295</t>
  </si>
  <si>
    <t xml:space="preserve">LG UK</t>
  </si>
  <si>
    <t xml:space="preserve">Household Appliances</t>
  </si>
  <si>
    <t xml:space="preserve">7494607438600177302</t>
  </si>
  <si>
    <t xml:space="preserve">XBJ INC</t>
  </si>
  <si>
    <t xml:space="preserve">Womenswear &amp; Underwear</t>
  </si>
  <si>
    <t xml:space="preserve">Also £11.2K in Phones &amp; Electronics ranking → combined ≈ £32.6K</t>
  </si>
  <si>
    <t xml:space="preserve">7494337048783717638</t>
  </si>
  <si>
    <t xml:space="preserve">prettyperfectproducts</t>
  </si>
  <si>
    <t xml:space="preserve">PRETTY PERFECT PRODUCTS LTD</t>
  </si>
  <si>
    <t xml:space="preserve">https://www.tiktok.com/@prettyperfectproducts</t>
  </si>
  <si>
    <t xml:space="preserve">2023-04-17</t>
  </si>
  <si>
    <t xml:space="preserve">7494991088252192961</t>
  </si>
  <si>
    <t xml:space="preserve">Unique Notes</t>
  </si>
  <si>
    <t xml:space="preserve">7494607108424763277</t>
  </si>
  <si>
    <t xml:space="preserve">HazeWea</t>
  </si>
  <si>
    <t xml:space="preserve">7494754018397357665</t>
  </si>
  <si>
    <t xml:space="preserve">Danilo Calendars and Cards</t>
  </si>
  <si>
    <t xml:space="preserve">Danilo Promotions Ltd</t>
  </si>
  <si>
    <t xml:space="preserve">danilocalendarsuk</t>
  </si>
  <si>
    <t xml:space="preserve">https://www.tiktok.com/@danilocalendarsuk</t>
  </si>
  <si>
    <t xml:space="preserve">2024-05-30</t>
  </si>
  <si>
    <t xml:space="preserve">7494539221623343257</t>
  </si>
  <si>
    <t xml:space="preserve">Kolorowy Stationery</t>
  </si>
  <si>
    <t xml:space="preserve">Dongguan Centripetal force E commerce Co Ltd</t>
  </si>
  <si>
    <t xml:space="preserve">7495153653392968150</t>
  </si>
  <si>
    <t xml:space="preserve">Bling Hair Fashion Shop</t>
  </si>
  <si>
    <t xml:space="preserve">BLINGHAIR FASHION COMPANY LTD</t>
  </si>
  <si>
    <t xml:space="preserve">7496093873154198272</t>
  </si>
  <si>
    <t xml:space="preserve">Hallmark</t>
  </si>
  <si>
    <t xml:space="preserve">7496288405263780508</t>
  </si>
  <si>
    <t xml:space="preserve">Ty Stationery</t>
  </si>
  <si>
    <t xml:space="preserve">Yiwu Tianyi Trading Co., Ltd.</t>
  </si>
  <si>
    <t xml:space="preserve">7495153658703415875</t>
  </si>
  <si>
    <t xml:space="preserve">ProSSD Tech</t>
  </si>
  <si>
    <t xml:space="preserve">Shenzhen Oscar Digital Technology Co Ltd</t>
  </si>
  <si>
    <t xml:space="preserve">7496099031096462294</t>
  </si>
  <si>
    <t xml:space="preserve">Pocketdream</t>
  </si>
  <si>
    <t xml:space="preserve">ZHITAOZHANG LTD</t>
  </si>
  <si>
    <t xml:space="preserve">Also ranked £41.6K in Home Improvement → above band</t>
  </si>
  <si>
    <t xml:space="preserve">7496085296639478558</t>
  </si>
  <si>
    <t xml:space="preserve">Vewise</t>
  </si>
  <si>
    <t xml:space="preserve">7494821512172242103</t>
  </si>
  <si>
    <t xml:space="preserve">Royal Mail Official</t>
  </si>
  <si>
    <t xml:space="preserve">National brand (Royal Mail) – likely sells across more categories</t>
  </si>
  <si>
    <t xml:space="preserve">7496129604205775634</t>
  </si>
  <si>
    <t xml:space="preserve">CricutUK</t>
  </si>
  <si>
    <t xml:space="preserve">7494685128674280711</t>
  </si>
  <si>
    <t xml:space="preserve">PackPoint</t>
  </si>
  <si>
    <t xml:space="preserve">7494316397735019920</t>
  </si>
  <si>
    <t xml:space="preserve">ONEWOOD</t>
  </si>
  <si>
    <t xml:space="preserve">Shenzhen Baiyi Technology Co., Ltd.</t>
  </si>
  <si>
    <t xml:space="preserve">7495543977043593337</t>
  </si>
  <si>
    <t xml:space="preserve">Extraordinary Products G</t>
  </si>
  <si>
    <t xml:space="preserve">7494173581766526543</t>
  </si>
  <si>
    <t xml:space="preserve">Merchant Aisle</t>
  </si>
  <si>
    <t xml:space="preserve">Pikeinhere</t>
  </si>
  <si>
    <t xml:space="preserve">7496227174303238409</t>
  </si>
  <si>
    <t xml:space="preserve">BeginherHair</t>
  </si>
  <si>
    <t xml:space="preserve">8650061662983264672</t>
  </si>
  <si>
    <t xml:space="preserve">KF JEWELRY</t>
  </si>
  <si>
    <t xml:space="preserve">7496301582558530221</t>
  </si>
  <si>
    <t xml:space="preserve">ChangLian wig</t>
  </si>
  <si>
    <t xml:space="preserve">Changlian Trading Co., Ltd.</t>
  </si>
  <si>
    <t xml:space="preserve">7495654973888628897</t>
  </si>
  <si>
    <t xml:space="preserve">Virgo boutique</t>
  </si>
  <si>
    <t xml:space="preserve">VBS RETAIL ONLINE LTD</t>
  </si>
  <si>
    <t xml:space="preserve">7494700733844523458</t>
  </si>
  <si>
    <t xml:space="preserve">snappy hair wigs</t>
  </si>
  <si>
    <t xml:space="preserve">Xuchang Zhana Trading Co., Ltd.</t>
  </si>
  <si>
    <t xml:space="preserve">7496047826833213654</t>
  </si>
  <si>
    <t xml:space="preserve">MILACOLATO</t>
  </si>
  <si>
    <t xml:space="preserve">BINGTAI LTD</t>
  </si>
  <si>
    <t xml:space="preserve">milacolato_official</t>
  </si>
  <si>
    <t xml:space="preserve">https://www.tiktok.com/@milacolato_official</t>
  </si>
  <si>
    <t xml:space="preserve">2025-02-26</t>
  </si>
  <si>
    <t xml:space="preserve">7496086524025735383</t>
  </si>
  <si>
    <t xml:space="preserve">Hair by Sleek</t>
  </si>
  <si>
    <t xml:space="preserve">HYNEDALE LIMITED</t>
  </si>
  <si>
    <t xml:space="preserve">7494054978036796316</t>
  </si>
  <si>
    <t xml:space="preserve">House of Umu</t>
  </si>
  <si>
    <t xml:space="preserve">2026-04-19</t>
  </si>
  <si>
    <t xml:space="preserve">7494551066641400960</t>
  </si>
  <si>
    <t xml:space="preserve">KOKO Couture</t>
  </si>
  <si>
    <t xml:space="preserve">GOLDEN BIRD TRADING (UK) LIMITED</t>
  </si>
  <si>
    <t xml:space="preserve">7494768467373426906</t>
  </si>
  <si>
    <t xml:space="preserve">Tewiky US</t>
  </si>
  <si>
    <t xml:space="preserve">8650486405252094613</t>
  </si>
  <si>
    <t xml:space="preserve">Topshe classic wig</t>
  </si>
  <si>
    <t xml:space="preserve">Yiwu Lanmei Wig Co., Ltd.</t>
  </si>
  <si>
    <t xml:space="preserve">7495159457714243881</t>
  </si>
  <si>
    <t xml:space="preserve">BOZLUN Club</t>
  </si>
  <si>
    <t xml:space="preserve">FARIDEH INTERNATIONAL LTD</t>
  </si>
  <si>
    <t xml:space="preserve">bozlun_official</t>
  </si>
  <si>
    <t xml:space="preserve">https://www.tiktok.com/@bozlun_official</t>
  </si>
  <si>
    <t xml:space="preserve">2025-09-25</t>
  </si>
  <si>
    <t xml:space="preserve">7496313128042793836</t>
  </si>
  <si>
    <t xml:space="preserve">Blinghair Factory Store</t>
  </si>
  <si>
    <t xml:space="preserve">MYLOCKME FASHION COMPANY LTD</t>
  </si>
  <si>
    <t xml:space="preserve">blinghairfactorystore_</t>
  </si>
  <si>
    <t xml:space="preserve">https://www.tiktok.com/@blinghairfactorystore_</t>
  </si>
  <si>
    <t xml:space="preserve">2025-03-09</t>
  </si>
  <si>
    <t xml:space="preserve">7496103548228831479</t>
  </si>
  <si>
    <t xml:space="preserve">Missbuy Human Wig</t>
  </si>
  <si>
    <t xml:space="preserve">7494226647323084130</t>
  </si>
  <si>
    <t xml:space="preserve">YourBeautyAccs</t>
  </si>
  <si>
    <t xml:space="preserve">Yiwu Kuping Electronic Commerce Business Firm (Individual Industrial and Commercial)</t>
  </si>
  <si>
    <t xml:space="preserve">7496097593052203571</t>
  </si>
  <si>
    <t xml:space="preserve">Johnsinokeylikelyoakley</t>
  </si>
  <si>
    <t xml:space="preserve">7494837846595240988</t>
  </si>
  <si>
    <t xml:space="preserve">Daily Brit</t>
  </si>
  <si>
    <t xml:space="preserve">2026-07-17</t>
  </si>
  <si>
    <t xml:space="preserve">7494706580613399846</t>
  </si>
  <si>
    <t xml:space="preserve">Luxe Trinket Studio</t>
  </si>
  <si>
    <t xml:space="preserve">7494842864727787486</t>
  </si>
  <si>
    <t xml:space="preserve">Budget Fashion Hats</t>
  </si>
  <si>
    <t xml:space="preserve">8651451691605067490</t>
  </si>
  <si>
    <t xml:space="preserve">POP MART UK Official</t>
  </si>
  <si>
    <t xml:space="preserve">7494631989745453020</t>
  </si>
  <si>
    <t xml:space="preserve">Snappy wig shop</t>
  </si>
  <si>
    <t xml:space="preserve">8656714271896929714</t>
  </si>
  <si>
    <t xml:space="preserve">MYLOCKME Human Hair Wigs Shop</t>
  </si>
  <si>
    <t xml:space="preserve">7494617224688928531</t>
  </si>
  <si>
    <t xml:space="preserve">PureJoyce</t>
  </si>
  <si>
    <t xml:space="preserve">Jieyang City, Jiedong District, Pandong Qulime Electronic Products Business Department (individual industrial and commercial households)</t>
  </si>
  <si>
    <t xml:space="preserve">7495801182131161735</t>
  </si>
  <si>
    <t xml:space="preserve">GiGiDiyShopUK</t>
  </si>
  <si>
    <t xml:space="preserve">Lianyungang Xingchenming Trading Co Ltd</t>
  </si>
  <si>
    <t xml:space="preserve">7496158891695835976</t>
  </si>
  <si>
    <t xml:space="preserve">COYYU STORE</t>
  </si>
  <si>
    <t xml:space="preserve">7494801797616076484</t>
  </si>
  <si>
    <t xml:space="preserve">Kakonia</t>
  </si>
  <si>
    <t xml:space="preserve">Yiwu Lianlian Electronic Commerce Co., Ltd.</t>
  </si>
  <si>
    <t xml:space="preserve">7495848025252596142</t>
  </si>
  <si>
    <t xml:space="preserve">IROJEFF Shop</t>
  </si>
  <si>
    <t xml:space="preserve">Yiwu Qianya Apparel Factory (Individual Industrial and Commercial)</t>
  </si>
  <si>
    <t xml:space="preserve">7495853450603169927</t>
  </si>
  <si>
    <t xml:space="preserve">Food &amp; Beverages</t>
  </si>
  <si>
    <t xml:space="preserve">Serious Pig UK</t>
  </si>
  <si>
    <t xml:space="preserve">SERIOUS PIG LTD</t>
  </si>
  <si>
    <t xml:space="preserve">7495583415237118286</t>
  </si>
  <si>
    <t xml:space="preserve">RM Wholesale</t>
  </si>
  <si>
    <t xml:space="preserve">RM Foods Wholesale Ltd</t>
  </si>
  <si>
    <t xml:space="preserve">7495588458058582521</t>
  </si>
  <si>
    <t xml:space="preserve">Joyofsweets.com</t>
  </si>
  <si>
    <t xml:space="preserve">7494083667368576490</t>
  </si>
  <si>
    <t xml:space="preserve">Taste Flavor Co UK</t>
  </si>
  <si>
    <t xml:space="preserve">taste_flavorco_uk</t>
  </si>
  <si>
    <t xml:space="preserve">https://www.tiktok.com/@taste_flavorco_uk</t>
  </si>
  <si>
    <t xml:space="preserve">2026-02-02</t>
  </si>
  <si>
    <t xml:space="preserve">7496320596825901708</t>
  </si>
  <si>
    <t xml:space="preserve">Pak Watan dried fruits</t>
  </si>
  <si>
    <t xml:space="preserve">pakwatandriedfruits</t>
  </si>
  <si>
    <t xml:space="preserve">https://www.tiktok.com/@pakwatandriedfruits</t>
  </si>
  <si>
    <t xml:space="preserve">2023-05-29</t>
  </si>
  <si>
    <t xml:space="preserve">7494978223821981823</t>
  </si>
  <si>
    <t xml:space="preserve">Candy N Choc</t>
  </si>
  <si>
    <t xml:space="preserve">RUDE CHOCOLATES LTD</t>
  </si>
  <si>
    <t xml:space="preserve">7494813448692861196</t>
  </si>
  <si>
    <t xml:space="preserve">Wholesale Motion</t>
  </si>
  <si>
    <t xml:space="preserve">Wholesale Motion Limited</t>
  </si>
  <si>
    <t xml:space="preserve">7495641740536613431</t>
  </si>
  <si>
    <t xml:space="preserve">TheSoftDrinksChannel</t>
  </si>
  <si>
    <t xml:space="preserve">REX BROWN LIMITED</t>
  </si>
  <si>
    <t xml:space="preserve">7494528588282825619</t>
  </si>
  <si>
    <t xml:space="preserve">Bakhtar Market</t>
  </si>
  <si>
    <t xml:space="preserve">Texpo Group Ltd</t>
  </si>
  <si>
    <t xml:space="preserve">bakhtar.market</t>
  </si>
  <si>
    <t xml:space="preserve">https://www.tiktok.com/@bakhtar.market</t>
  </si>
  <si>
    <t xml:space="preserve">2025-03-29</t>
  </si>
  <si>
    <t xml:space="preserve">7495959303600572964</t>
  </si>
  <si>
    <t xml:space="preserve">Topline Retail Solutions</t>
  </si>
  <si>
    <t xml:space="preserve">7496229702565071715</t>
  </si>
  <si>
    <t xml:space="preserve">SLF PRODUCTS</t>
  </si>
  <si>
    <t xml:space="preserve">7495874573347294081</t>
  </si>
  <si>
    <t xml:space="preserve">Bargain Direct</t>
  </si>
  <si>
    <t xml:space="preserve">DAWN INTERNATIONAL (GLASGOW) LIMITED</t>
  </si>
  <si>
    <t xml:space="preserve">7496071092626950496</t>
  </si>
  <si>
    <t xml:space="preserve">Candylicious Time</t>
  </si>
  <si>
    <t xml:space="preserve">7494882323803048835</t>
  </si>
  <si>
    <t xml:space="preserve">Dolly's Desserts</t>
  </si>
  <si>
    <t xml:space="preserve">7494570220322589356</t>
  </si>
  <si>
    <t xml:space="preserve">WZ Foods</t>
  </si>
  <si>
    <t xml:space="preserve">Warzone Gear LTD</t>
  </si>
  <si>
    <t xml:space="preserve">7495691223590669029</t>
  </si>
  <si>
    <t xml:space="preserve">DiscountCoffee</t>
  </si>
  <si>
    <t xml:space="preserve">7494470567873906321</t>
  </si>
  <si>
    <t xml:space="preserve">KrunchdUK</t>
  </si>
  <si>
    <t xml:space="preserve">7494214733602587981</t>
  </si>
  <si>
    <t xml:space="preserve">OnlineGroceries</t>
  </si>
  <si>
    <t xml:space="preserve">7494212271744320708</t>
  </si>
  <si>
    <t xml:space="preserve">Sweetandsourasia</t>
  </si>
  <si>
    <t xml:space="preserve">7495398281635465876</t>
  </si>
  <si>
    <t xml:space="preserve">TianMao TikMall</t>
  </si>
  <si>
    <t xml:space="preserve">TIANMAO LTD</t>
  </si>
  <si>
    <t xml:space="preserve">7495902074866535157</t>
  </si>
  <si>
    <t xml:space="preserve">Four Brothers SuperStore</t>
  </si>
  <si>
    <t xml:space="preserve">Four Brothers Global Ltd</t>
  </si>
  <si>
    <t xml:space="preserve">7495576673196411653</t>
  </si>
  <si>
    <t xml:space="preserve">CushtyBargains</t>
  </si>
  <si>
    <t xml:space="preserve">7494088029664937953</t>
  </si>
  <si>
    <t xml:space="preserve">Good's Kingdom</t>
  </si>
  <si>
    <t xml:space="preserve">7496180884781041945</t>
  </si>
  <si>
    <t xml:space="preserve">HOLY</t>
  </si>
  <si>
    <t xml:space="preserve">7494540690297030480</t>
  </si>
  <si>
    <t xml:space="preserve">CandyCrazeUK</t>
  </si>
  <si>
    <t xml:space="preserve">ELITE-HYDRATION LTD</t>
  </si>
  <si>
    <t xml:space="preserve">7495850010638059780</t>
  </si>
  <si>
    <t xml:space="preserve">Poundbasket</t>
  </si>
  <si>
    <t xml:space="preserve">PB STORES SCOTLAND LIMITED</t>
  </si>
  <si>
    <t xml:space="preserve">7495798609401907856</t>
  </si>
  <si>
    <t xml:space="preserve">EDE mart</t>
  </si>
  <si>
    <t xml:space="preserve">Ede group ltd</t>
  </si>
  <si>
    <t xml:space="preserve">7495872283075709238</t>
  </si>
  <si>
    <t xml:space="preserve">Giant Bradley's</t>
  </si>
  <si>
    <t xml:space="preserve">Giant Bradley's Sweet Shop Ltd</t>
  </si>
  <si>
    <t xml:space="preserve">giantbradleys</t>
  </si>
  <si>
    <t xml:space="preserve">https://www.tiktok.com/@giantbradleys</t>
  </si>
  <si>
    <t xml:space="preserve">2023-06-09</t>
  </si>
  <si>
    <t xml:space="preserve">7494523752626424756</t>
  </si>
  <si>
    <t xml:space="preserve">Clever Cookie</t>
  </si>
  <si>
    <t xml:space="preserve">LOVE CLEVER COOKIE LTD</t>
  </si>
  <si>
    <t xml:space="preserve">7494992462095616617</t>
  </si>
  <si>
    <t xml:space="preserve">Lipton Tea</t>
  </si>
  <si>
    <t xml:space="preserve">2026-08-19</t>
  </si>
  <si>
    <t xml:space="preserve">7494748499102369509</t>
  </si>
  <si>
    <t xml:space="preserve">MOONLAND HUB</t>
  </si>
  <si>
    <t xml:space="preserve">HIVE COMMERCE LTD</t>
  </si>
  <si>
    <t xml:space="preserve">7495986468930095399</t>
  </si>
  <si>
    <t xml:space="preserve">ZENVIXO STORE</t>
  </si>
  <si>
    <t xml:space="preserve">7494729522593629337</t>
  </si>
  <si>
    <t xml:space="preserve">Globestar-Distributors</t>
  </si>
  <si>
    <t xml:space="preserve">Bargain-deals</t>
  </si>
  <si>
    <t xml:space="preserve">Sports &amp; Outdoor</t>
  </si>
  <si>
    <t xml:space="preserve">7495718099360844499</t>
  </si>
  <si>
    <t xml:space="preserve">FUSOU Furniture</t>
  </si>
  <si>
    <t xml:space="preserve">Shenzhen Qiwen Trading Co Ltd</t>
  </si>
  <si>
    <t xml:space="preserve">8647375452729220009</t>
  </si>
  <si>
    <t xml:space="preserve">YITAHOME Haven</t>
  </si>
  <si>
    <t xml:space="preserve">UK WINJIE LTD</t>
  </si>
  <si>
    <t xml:space="preserve">7496169567384668186</t>
  </si>
  <si>
    <t xml:space="preserve">home-geared</t>
  </si>
  <si>
    <t xml:space="preserve">ARRAPED LTD</t>
  </si>
  <si>
    <t xml:space="preserve">7496020970480830719</t>
  </si>
  <si>
    <t xml:space="preserve">CosyNook</t>
  </si>
  <si>
    <t xml:space="preserve">7494413790454712000</t>
  </si>
  <si>
    <t xml:space="preserve">The Sleep People</t>
  </si>
  <si>
    <t xml:space="preserve">The Sleep People Limited</t>
  </si>
  <si>
    <t xml:space="preserve">7495465584664939131</t>
  </si>
  <si>
    <t xml:space="preserve">Shadowquella</t>
  </si>
  <si>
    <t xml:space="preserve">PENDRAGONCN LTD</t>
  </si>
  <si>
    <t xml:space="preserve">shadowquella</t>
  </si>
  <si>
    <t xml:space="preserve">https://www.tiktok.com/@shadowquella</t>
  </si>
  <si>
    <t xml:space="preserve">2025-06-24</t>
  </si>
  <si>
    <t xml:space="preserve">7496219253346502858</t>
  </si>
  <si>
    <t xml:space="preserve">TII Brands</t>
  </si>
  <si>
    <t xml:space="preserve">This Is It Stores ltd</t>
  </si>
  <si>
    <t xml:space="preserve">7494491601972595583</t>
  </si>
  <si>
    <t xml:space="preserve">LixHomeGarden</t>
  </si>
  <si>
    <t xml:space="preserve">LIXIA LIMITED</t>
  </si>
  <si>
    <t xml:space="preserve">Also £18.7K in Tools &amp; Hardware ranking → combined ≈ £38.6K</t>
  </si>
  <si>
    <t xml:space="preserve">7496079356263631317</t>
  </si>
  <si>
    <t xml:space="preserve">London Boutique Home Style</t>
  </si>
  <si>
    <t xml:space="preserve">A STAR HOMEWARES LTD</t>
  </si>
  <si>
    <t xml:space="preserve">7495556543679662367</t>
  </si>
  <si>
    <t xml:space="preserve">MOPHOTO shop</t>
  </si>
  <si>
    <t xml:space="preserve">SHANGHAI XINHUI GONGYINGLIAN GUANLI YOUXIANGONGSI</t>
  </si>
  <si>
    <t xml:space="preserve">7496159598331398271</t>
  </si>
  <si>
    <t xml:space="preserve">Souk</t>
  </si>
  <si>
    <t xml:space="preserve">7494828392495679172</t>
  </si>
  <si>
    <t xml:space="preserve">Tribesigns home</t>
  </si>
  <si>
    <t xml:space="preserve">SNCH TRADE LIMITED</t>
  </si>
  <si>
    <t xml:space="preserve">7496006263948740700</t>
  </si>
  <si>
    <t xml:space="preserve">Ready Steady Bed</t>
  </si>
  <si>
    <t xml:space="preserve">Ready Steady Bed Ltd.</t>
  </si>
  <si>
    <t xml:space="preserve">readysteadybed.co.uk</t>
  </si>
  <si>
    <t xml:space="preserve">https://www.tiktok.com/@readysteadybed.co.uk</t>
  </si>
  <si>
    <t xml:space="preserve">2024-12-02</t>
  </si>
  <si>
    <t xml:space="preserve">7495976268916427525</t>
  </si>
  <si>
    <t xml:space="preserve">Prime nest living</t>
  </si>
  <si>
    <t xml:space="preserve">7494632849114170746</t>
  </si>
  <si>
    <t xml:space="preserve">Endless Nexus</t>
  </si>
  <si>
    <t xml:space="preserve">Endless Nexus Trading Ltd</t>
  </si>
  <si>
    <t xml:space="preserve">7496099181432375779</t>
  </si>
  <si>
    <t xml:space="preserve">NexDrop</t>
  </si>
  <si>
    <t xml:space="preserve">NexDrop LTD</t>
  </si>
  <si>
    <t xml:space="preserve">Textiles &amp; Soft Furnishings</t>
  </si>
  <si>
    <t xml:space="preserve">7495904059615905924</t>
  </si>
  <si>
    <t xml:space="preserve">Fusou Furniture.UK</t>
  </si>
  <si>
    <t xml:space="preserve">7494091341915849760</t>
  </si>
  <si>
    <t xml:space="preserve">NIONIK</t>
  </si>
  <si>
    <t xml:space="preserve">7494782129811850338</t>
  </si>
  <si>
    <t xml:space="preserve">DIAMOND FURNISHING 1981</t>
  </si>
  <si>
    <t xml:space="preserve">7496278947456977686</t>
  </si>
  <si>
    <t xml:space="preserve">CloudNineFurniture</t>
  </si>
  <si>
    <t xml:space="preserve">COMFY LIVING LIMITED</t>
  </si>
  <si>
    <t xml:space="preserve">7496225805129255524</t>
  </si>
  <si>
    <t xml:space="preserve">YITAHOME Living</t>
  </si>
  <si>
    <t xml:space="preserve">HONG KONG YINTA INTERNATIONAL TRADE COMPANY LIMITED</t>
  </si>
  <si>
    <t xml:space="preserve">7496103388748417354</t>
  </si>
  <si>
    <t xml:space="preserve">CLIPOP UK</t>
  </si>
  <si>
    <t xml:space="preserve">7494573616478783402</t>
  </si>
  <si>
    <t xml:space="preserve">T R I P</t>
  </si>
  <si>
    <t xml:space="preserve">Go Places Limited</t>
  </si>
  <si>
    <t xml:space="preserve">7495880718415530177</t>
  </si>
  <si>
    <t xml:space="preserve">Ancient Extracts</t>
  </si>
  <si>
    <t xml:space="preserve">Ancient Extracts Ltd</t>
  </si>
  <si>
    <t xml:space="preserve">ancientextracts</t>
  </si>
  <si>
    <t xml:space="preserve">https://www.tiktok.com/@ancientextracts</t>
  </si>
  <si>
    <t xml:space="preserve">2024-02-09</t>
  </si>
  <si>
    <t xml:space="preserve">7495487735726245897</t>
  </si>
  <si>
    <t xml:space="preserve">Mei.vita</t>
  </si>
  <si>
    <t xml:space="preserve">ME I VITA LTD</t>
  </si>
  <si>
    <t xml:space="preserve">7495966465400212221</t>
  </si>
  <si>
    <t xml:space="preserve">British health supplements</t>
  </si>
  <si>
    <t xml:space="preserve">7494152323103097959</t>
  </si>
  <si>
    <t xml:space="preserve">Absolute Collagen</t>
  </si>
  <si>
    <t xml:space="preserve">LACEBY LTD</t>
  </si>
  <si>
    <t xml:space="preserve">7495077305071012687</t>
  </si>
  <si>
    <t xml:space="preserve">MaryRuth's UK</t>
  </si>
  <si>
    <t xml:space="preserve">OpenBorder Global UK Ltd</t>
  </si>
  <si>
    <t xml:space="preserve">7496047354690570311</t>
  </si>
  <si>
    <t xml:space="preserve">Her Kind UK</t>
  </si>
  <si>
    <t xml:space="preserve">JAC ECOM LTD</t>
  </si>
  <si>
    <t xml:space="preserve">herkinduk</t>
  </si>
  <si>
    <t xml:space="preserve">https://www.tiktok.com/@herkinduk</t>
  </si>
  <si>
    <t xml:space="preserve">2025-08-31</t>
  </si>
  <si>
    <t xml:space="preserve">7496311439145470472</t>
  </si>
  <si>
    <t xml:space="preserve">The Formula Supplements Ltd</t>
  </si>
  <si>
    <t xml:space="preserve">7495738572486773664</t>
  </si>
  <si>
    <t xml:space="preserve">MomcozyUK</t>
  </si>
  <si>
    <t xml:space="preserve">ROOT INTERNATIONAL LIMITED</t>
  </si>
  <si>
    <t xml:space="preserve">7495828430994049397</t>
  </si>
  <si>
    <t xml:space="preserve">Olympus Roots</t>
  </si>
  <si>
    <t xml:space="preserve">7496009626476120090</t>
  </si>
  <si>
    <t xml:space="preserve">InsightSupps</t>
  </si>
  <si>
    <t xml:space="preserve">Insight Supps LTD</t>
  </si>
  <si>
    <t xml:space="preserve">7496248852106610959</t>
  </si>
  <si>
    <t xml:space="preserve">The Mellow Company</t>
  </si>
  <si>
    <t xml:space="preserve">MELLOW MUM LIMITED</t>
  </si>
  <si>
    <t xml:space="preserve">mellowpatchesuk</t>
  </si>
  <si>
    <t xml:space="preserve">https://www.tiktok.com/@mellowpatchesuk</t>
  </si>
  <si>
    <t xml:space="preserve">2023-08-02</t>
  </si>
  <si>
    <t xml:space="preserve">7494892887998564464</t>
  </si>
  <si>
    <t xml:space="preserve">Hello Fit</t>
  </si>
  <si>
    <t xml:space="preserve">7494535530331276857</t>
  </si>
  <si>
    <t xml:space="preserve">Roundway Supplements</t>
  </si>
  <si>
    <t xml:space="preserve">TG Nutrition Limited</t>
  </si>
  <si>
    <t xml:space="preserve">roundway.supplements</t>
  </si>
  <si>
    <t xml:space="preserve">https://www.tiktok.com/@roundway.supplements</t>
  </si>
  <si>
    <t xml:space="preserve">2025-08-04</t>
  </si>
  <si>
    <t xml:space="preserve">7496235599769733898</t>
  </si>
  <si>
    <t xml:space="preserve">Natural support UK</t>
  </si>
  <si>
    <t xml:space="preserve">7494241797132420844</t>
  </si>
  <si>
    <t xml:space="preserve">PURETREX</t>
  </si>
  <si>
    <t xml:space="preserve">7495755642714885070</t>
  </si>
  <si>
    <t xml:space="preserve">Rheal</t>
  </si>
  <si>
    <t xml:space="preserve">RHEAL SUPERFOODS LTD</t>
  </si>
  <si>
    <t xml:space="preserve">rhealsuperfoods</t>
  </si>
  <si>
    <t xml:space="preserve">https://www.tiktok.com/@rhealsuperfoods</t>
  </si>
  <si>
    <t xml:space="preserve">2023-12-01</t>
  </si>
  <si>
    <t xml:space="preserve">7495330333042903482</t>
  </si>
  <si>
    <t xml:space="preserve">WellnessWizards</t>
  </si>
  <si>
    <t xml:space="preserve">SHAKIR ENTERPRISES LTD</t>
  </si>
  <si>
    <t xml:space="preserve">7495780130678737680</t>
  </si>
  <si>
    <t xml:space="preserve">Phizz UK</t>
  </si>
  <si>
    <t xml:space="preserve">7494834122040970227</t>
  </si>
  <si>
    <t xml:space="preserve">Onyx Nutra</t>
  </si>
  <si>
    <t xml:space="preserve">UKONYX</t>
  </si>
  <si>
    <t xml:space="preserve">7495562526638573972</t>
  </si>
  <si>
    <t xml:space="preserve">Nutrivo</t>
  </si>
  <si>
    <t xml:space="preserve">7495981719596731299</t>
  </si>
  <si>
    <t xml:space="preserve">HOLYTIME</t>
  </si>
  <si>
    <t xml:space="preserve">HOLYTIME LTD</t>
  </si>
  <si>
    <t xml:space="preserve">7496115267887204613</t>
  </si>
  <si>
    <t xml:space="preserve">Longevity Box</t>
  </si>
  <si>
    <t xml:space="preserve">Life Upgraded Ltd</t>
  </si>
  <si>
    <t xml:space="preserve">7495995772105427304</t>
  </si>
  <si>
    <t xml:space="preserve">Gains Nutrition</t>
  </si>
  <si>
    <t xml:space="preserve">Al-Haatif Limited</t>
  </si>
  <si>
    <t xml:space="preserve">7494831404594989295</t>
  </si>
  <si>
    <t xml:space="preserve">sealionsvitamins</t>
  </si>
  <si>
    <t xml:space="preserve">SUPREME IMPORTS LTD</t>
  </si>
  <si>
    <t xml:space="preserve">7495680298250504458</t>
  </si>
  <si>
    <t xml:space="preserve">Recuperol</t>
  </si>
  <si>
    <t xml:space="preserve">NEWTRIUM LTD</t>
  </si>
  <si>
    <t xml:space="preserve">7494631334565677710</t>
  </si>
  <si>
    <t xml:space="preserve">Skin UK</t>
  </si>
  <si>
    <t xml:space="preserve">7494674235326891581</t>
  </si>
  <si>
    <t xml:space="preserve">C4</t>
  </si>
  <si>
    <t xml:space="preserve">7494349675016652570</t>
  </si>
  <si>
    <t xml:space="preserve">Ring Lina</t>
  </si>
  <si>
    <t xml:space="preserve">7494548152118969498</t>
  </si>
  <si>
    <t xml:space="preserve">Cheaper Online</t>
  </si>
  <si>
    <t xml:space="preserve">CHEAPER ONLINE LTD</t>
  </si>
  <si>
    <t xml:space="preserve">7495219639326902955</t>
  </si>
  <si>
    <t xml:space="preserve">Costway.UK</t>
  </si>
  <si>
    <t xml:space="preserve">GYMAX LIMITED</t>
  </si>
  <si>
    <t xml:space="preserve">Large multi-category retailer (Costway) – likely bigger overall</t>
  </si>
  <si>
    <t xml:space="preserve">7495837466902957053</t>
  </si>
  <si>
    <t xml:space="preserve">JML Direct</t>
  </si>
  <si>
    <t xml:space="preserve">John Mills Limited</t>
  </si>
  <si>
    <t xml:space="preserve">7495523735724001694</t>
  </si>
  <si>
    <t xml:space="preserve">Flower Power UK</t>
  </si>
  <si>
    <t xml:space="preserve">Jigsaw Marketing and Media Limited</t>
  </si>
  <si>
    <t xml:space="preserve">flowerpoweruk1</t>
  </si>
  <si>
    <t xml:space="preserve">https://www.tiktok.com/@flowerpoweruk1</t>
  </si>
  <si>
    <t xml:space="preserve">7495305991128451448</t>
  </si>
  <si>
    <t xml:space="preserve">Tapo Official UK</t>
  </si>
  <si>
    <t xml:space="preserve">2025-11-21</t>
  </si>
  <si>
    <t xml:space="preserve">7496118433055673121</t>
  </si>
  <si>
    <t xml:space="preserve">Pavilion Light</t>
  </si>
  <si>
    <t xml:space="preserve">Xi'an Zhijiao Xingkong Network Technology Co., Ltd.</t>
  </si>
  <si>
    <t xml:space="preserve">7495154565372086831</t>
  </si>
  <si>
    <t xml:space="preserve">AlloyNook</t>
  </si>
  <si>
    <t xml:space="preserve">7494580785752802434</t>
  </si>
  <si>
    <t xml:space="preserve">Atmosphere lamp</t>
  </si>
  <si>
    <t xml:space="preserve">Shenzhen Delishun Technology Co., Ltd.</t>
  </si>
  <si>
    <t xml:space="preserve">7495310762287663602</t>
  </si>
  <si>
    <t xml:space="preserve">KOKOMA.UK</t>
  </si>
  <si>
    <t xml:space="preserve">KOKOMA LIMITED</t>
  </si>
  <si>
    <t xml:space="preserve">kokomauk5</t>
  </si>
  <si>
    <t xml:space="preserve">https://www.tiktok.com/@kokomauk5</t>
  </si>
  <si>
    <t xml:space="preserve">2025-06-16</t>
  </si>
  <si>
    <t xml:space="preserve">7496186035787565066</t>
  </si>
  <si>
    <t xml:space="preserve">Chocbyclo</t>
  </si>
  <si>
    <t xml:space="preserve">jghjgmxq</t>
  </si>
  <si>
    <t xml:space="preserve">https://www.tiktok.com/@jghjgmxq</t>
  </si>
  <si>
    <t xml:space="preserve">2025-07-10</t>
  </si>
  <si>
    <t xml:space="preserve">7496240027764230647</t>
  </si>
  <si>
    <t xml:space="preserve">Dazzling Home</t>
  </si>
  <si>
    <t xml:space="preserve">Dongguan Ansui Optoelectronics Technology Co., Ltd</t>
  </si>
  <si>
    <t xml:space="preserve">7495172323409365878</t>
  </si>
  <si>
    <t xml:space="preserve">Crystal Lights</t>
  </si>
  <si>
    <t xml:space="preserve">7494374220723226035</t>
  </si>
  <si>
    <t xml:space="preserve">TH CLICKMART</t>
  </si>
  <si>
    <t xml:space="preserve">thclickmart</t>
  </si>
  <si>
    <t xml:space="preserve">https://www.tiktok.com/@thclickmart</t>
  </si>
  <si>
    <t xml:space="preserve">2025-11-27</t>
  </si>
  <si>
    <t xml:space="preserve">7494249894191990781</t>
  </si>
  <si>
    <t xml:space="preserve">Nuptiostore</t>
  </si>
  <si>
    <t xml:space="preserve">fuzhouxianhouxinxijishuyouxiangongsi</t>
  </si>
  <si>
    <t xml:space="preserve">7496099140991879404</t>
  </si>
  <si>
    <t xml:space="preserve">AHFECTNY</t>
  </si>
  <si>
    <t xml:space="preserve">Zhongshan Pengchenyu Lighting Technology Co., Ltd.</t>
  </si>
  <si>
    <t xml:space="preserve">7495153689060543098</t>
  </si>
  <si>
    <t xml:space="preserve">JN CHICCRAFT</t>
  </si>
  <si>
    <t xml:space="preserve">TRAIN LIMITED</t>
  </si>
  <si>
    <t xml:space="preserve">Also £15.0K in Household Appliances ranking → combined ≈ £35.7K</t>
  </si>
  <si>
    <t xml:space="preserve">7496046880300501614</t>
  </si>
  <si>
    <t xml:space="preserve">Decorative lighting lighting</t>
  </si>
  <si>
    <t xml:space="preserve">Zhongshan Yadi Li Lighting Decoration Co., Ltd.</t>
  </si>
  <si>
    <t xml:space="preserve">7495159776511298455</t>
  </si>
  <si>
    <t xml:space="preserve">Acehome</t>
  </si>
  <si>
    <t xml:space="preserve">CABINET LIMITED</t>
  </si>
  <si>
    <t xml:space="preserve">7495894847603379166</t>
  </si>
  <si>
    <t xml:space="preserve">The Wilson Group</t>
  </si>
  <si>
    <t xml:space="preserve">AFRAPOCO LIMITED</t>
  </si>
  <si>
    <t xml:space="preserve">7495363426492123464</t>
  </si>
  <si>
    <t xml:space="preserve">Cetant Lighting</t>
  </si>
  <si>
    <t xml:space="preserve">8652203456011929323</t>
  </si>
  <si>
    <t xml:space="preserve">Lekato Life</t>
  </si>
  <si>
    <t xml:space="preserve">ASDNAS LTD</t>
  </si>
  <si>
    <t xml:space="preserve">7495922513395812784</t>
  </si>
  <si>
    <t xml:space="preserve">WARSUN DAWN</t>
  </si>
  <si>
    <t xml:space="preserve">Ningbo Mingwo Import and Export Co Ltd</t>
  </si>
  <si>
    <t xml:space="preserve">7496123283321817591</t>
  </si>
  <si>
    <t xml:space="preserve">OveeDay</t>
  </si>
  <si>
    <t xml:space="preserve">Engraved Zodiac Ltd</t>
  </si>
  <si>
    <t xml:space="preserve">7496047341641042592</t>
  </si>
  <si>
    <t xml:space="preserve">Neat Living Essentials</t>
  </si>
  <si>
    <t xml:space="preserve">EAGER GOODS LTD</t>
  </si>
  <si>
    <t xml:space="preserve">7496151373717277526</t>
  </si>
  <si>
    <t xml:space="preserve">BREEZE AT HOME LIMITED</t>
  </si>
  <si>
    <t xml:space="preserve">7496212154105039253</t>
  </si>
  <si>
    <t xml:space="preserve">Phoenix UK</t>
  </si>
  <si>
    <t xml:space="preserve">ALTA &amp; CO TRADING LIMITED</t>
  </si>
  <si>
    <t xml:space="preserve">7494849083445840856</t>
  </si>
  <si>
    <t xml:space="preserve">Dock &amp; Bay</t>
  </si>
  <si>
    <t xml:space="preserve">DOCK &amp; BAY LTD</t>
  </si>
  <si>
    <t xml:space="preserve">dockandbay</t>
  </si>
  <si>
    <t xml:space="preserve">https://www.tiktok.com/@dockandbay</t>
  </si>
  <si>
    <t xml:space="preserve">2024-03-22</t>
  </si>
  <si>
    <t xml:space="preserve">7495211149111364436</t>
  </si>
  <si>
    <t xml:space="preserve">Bulkuno</t>
  </si>
  <si>
    <t xml:space="preserve">7494416141233521980</t>
  </si>
  <si>
    <t xml:space="preserve">CASA AND PLANTS LIMITED</t>
  </si>
  <si>
    <t xml:space="preserve">7496260518464490323</t>
  </si>
  <si>
    <t xml:space="preserve">Sky Reverie</t>
  </si>
  <si>
    <t xml:space="preserve">INPORTSOUL LTD</t>
  </si>
  <si>
    <t xml:space="preserve">violetpap12</t>
  </si>
  <si>
    <t xml:space="preserve">https://www.tiktok.com/@violetpap12</t>
  </si>
  <si>
    <t xml:space="preserve">2025-04-07</t>
  </si>
  <si>
    <t xml:space="preserve">7496126355154832285</t>
  </si>
  <si>
    <t xml:space="preserve">The Gift House UK</t>
  </si>
  <si>
    <t xml:space="preserve">thegifthouseuk</t>
  </si>
  <si>
    <t xml:space="preserve">https://www.tiktok.com/@thegifthouseuk</t>
  </si>
  <si>
    <t xml:space="preserve">2024-01-15</t>
  </si>
  <si>
    <t xml:space="preserve">7495342211693119559</t>
  </si>
  <si>
    <t xml:space="preserve">Soil Heart LTD</t>
  </si>
  <si>
    <t xml:space="preserve">SOILHEART LTD</t>
  </si>
  <si>
    <t xml:space="preserve">Also £17.2K in Furniture ranking → combined ≈ £37.2K</t>
  </si>
  <si>
    <t xml:space="preserve">7496021801734014992</t>
  </si>
  <si>
    <t xml:space="preserve">DetailCraft Hub</t>
  </si>
  <si>
    <t xml:space="preserve">Shapingba District weihang E-commerce Business Department (Individual Business Household)</t>
  </si>
  <si>
    <t xml:space="preserve">7496219487908563446</t>
  </si>
  <si>
    <t xml:space="preserve">All ltd</t>
  </si>
  <si>
    <t xml:space="preserve">user9051965569350</t>
  </si>
  <si>
    <t xml:space="preserve">https://www.tiktok.com/@user9051965569350</t>
  </si>
  <si>
    <t xml:space="preserve">2026-02-27</t>
  </si>
  <si>
    <t xml:space="preserve">7494423599427192119</t>
  </si>
  <si>
    <t xml:space="preserve">DIY factory store</t>
  </si>
  <si>
    <t xml:space="preserve">Dongyangshi Youchen Crafts Co., Ltd.</t>
  </si>
  <si>
    <t xml:space="preserve">7495338489135336316</t>
  </si>
  <si>
    <t xml:space="preserve">Groundlevel</t>
  </si>
  <si>
    <t xml:space="preserve">HOME ONLINE STORES LIMITED</t>
  </si>
  <si>
    <t xml:space="preserve">7494506531699133347</t>
  </si>
  <si>
    <t xml:space="preserve">Interior Finish Outlet</t>
  </si>
  <si>
    <t xml:space="preserve">Morgan's Trade Ltd</t>
  </si>
  <si>
    <t xml:space="preserve">7494809626874448887</t>
  </si>
  <si>
    <t xml:space="preserve">Tellaro</t>
  </si>
  <si>
    <t xml:space="preserve">7494808625416209564</t>
  </si>
  <si>
    <t xml:space="preserve">ASPECT UK</t>
  </si>
  <si>
    <t xml:space="preserve">Luxtrous Ltd</t>
  </si>
  <si>
    <t xml:space="preserve">7495679085362514649</t>
  </si>
  <si>
    <t xml:space="preserve">Lunarc09</t>
  </si>
  <si>
    <t xml:space="preserve">LUNA ARC LTD</t>
  </si>
  <si>
    <t xml:space="preserve">Also £20.9K in Tools &amp; Hardware ranking → combined ≈ £39.7K</t>
  </si>
  <si>
    <t xml:space="preserve">7496018979165014616</t>
  </si>
  <si>
    <t xml:space="preserve">Auyol</t>
  </si>
  <si>
    <t xml:space="preserve">VINSHAN LTD</t>
  </si>
  <si>
    <t xml:space="preserve">auyoluk</t>
  </si>
  <si>
    <t xml:space="preserve">https://www.tiktok.com/@auyoluk</t>
  </si>
  <si>
    <t xml:space="preserve">2025-08-06</t>
  </si>
  <si>
    <t xml:space="preserve">7496163167665555701</t>
  </si>
  <si>
    <t xml:space="preserve">CHIGHGARDEN</t>
  </si>
  <si>
    <t xml:space="preserve">CHRISTOPHER HIGHGARDEN LIMITED</t>
  </si>
  <si>
    <t xml:space="preserve">7496276230289197145</t>
  </si>
  <si>
    <t xml:space="preserve">TOP HOT SALE STORE</t>
  </si>
  <si>
    <t xml:space="preserve">7494116533932623570</t>
  </si>
  <si>
    <t xml:space="preserve">Buycartips</t>
  </si>
  <si>
    <t xml:space="preserve">8647628321494833652</t>
  </si>
  <si>
    <t xml:space="preserve">anllugs uk</t>
  </si>
  <si>
    <t xml:space="preserve">7494748323476374806</t>
  </si>
  <si>
    <t xml:space="preserve">OHOME</t>
  </si>
  <si>
    <t xml:space="preserve">Haikou Melans Xilan Selection Trading Firm (individual industrial and commercial households)</t>
  </si>
  <si>
    <t xml:space="preserve">7495904802565687731</t>
  </si>
  <si>
    <t xml:space="preserve">Mantou's Paw</t>
  </si>
  <si>
    <t xml:space="preserve">7494532874461414427</t>
  </si>
  <si>
    <t xml:space="preserve">Lasshswaaa</t>
  </si>
  <si>
    <t xml:space="preserve">7494793760335955710</t>
  </si>
  <si>
    <t xml:space="preserve">ROOMS AND BLOOM</t>
  </si>
  <si>
    <t xml:space="preserve">ROOMS AND BLOOM LIMITED</t>
  </si>
  <si>
    <t xml:space="preserve">Also £23.2K in Sports &amp; Outdoor ranking → combined ≈ £40.5K</t>
  </si>
  <si>
    <t xml:space="preserve">7496163071152196040</t>
  </si>
  <si>
    <t xml:space="preserve">Marketports</t>
  </si>
  <si>
    <t xml:space="preserve">Yiwu Mai Ming Trading Co., Ltd.</t>
  </si>
  <si>
    <t xml:space="preserve">7495297895299582943</t>
  </si>
  <si>
    <t xml:space="preserve">Dulce Armonia</t>
  </si>
  <si>
    <t xml:space="preserve">Sweet Harmony Ltd</t>
  </si>
  <si>
    <t xml:space="preserve">Also £27.7K in Baby &amp; Maternity ranking → combined ≈ £44.7K</t>
  </si>
  <si>
    <t xml:space="preserve">7496081087744870936</t>
  </si>
  <si>
    <t xml:space="preserve">Central UK Mart</t>
  </si>
  <si>
    <t xml:space="preserve">7494199491969189206</t>
  </si>
  <si>
    <t xml:space="preserve">Antimbee Direct</t>
  </si>
  <si>
    <t xml:space="preserve">7494467442478515809</t>
  </si>
  <si>
    <t xml:space="preserve">uulike-Store888</t>
  </si>
  <si>
    <t xml:space="preserve">ANNANNCHOU LTD</t>
  </si>
  <si>
    <t xml:space="preserve">7496139495474104565</t>
  </si>
  <si>
    <t xml:space="preserve">Cowsar Appliances</t>
  </si>
  <si>
    <t xml:space="preserve">NINGBO ROWAN ELECTRIC APPLIANCE CO.,LTD</t>
  </si>
  <si>
    <t xml:space="preserve">7496099023538587824</t>
  </si>
  <si>
    <t xml:space="preserve">Sloanery UK</t>
  </si>
  <si>
    <t xml:space="preserve">7494508749824099410</t>
  </si>
  <si>
    <t xml:space="preserve">Hale Retail Company</t>
  </si>
  <si>
    <t xml:space="preserve">THE RETAIL COMPANY (HALE) LIMITED</t>
  </si>
  <si>
    <t xml:space="preserve">7495981102217005847</t>
  </si>
  <si>
    <t xml:space="preserve">HETCH UK</t>
  </si>
  <si>
    <t xml:space="preserve">HETCH (UK) LTD</t>
  </si>
  <si>
    <t xml:space="preserve">hetch.uk</t>
  </si>
  <si>
    <t xml:space="preserve">https://www.tiktok.com/@hetch.uk</t>
  </si>
  <si>
    <t xml:space="preserve">2025-08-07</t>
  </si>
  <si>
    <t xml:space="preserve">7496269052279621960</t>
  </si>
  <si>
    <t xml:space="preserve">Comfee</t>
  </si>
  <si>
    <t xml:space="preserve">7496046979736898275</t>
  </si>
  <si>
    <t xml:space="preserve">SMONDCH TRADING</t>
  </si>
  <si>
    <t xml:space="preserve">SMONDCH TRADING CO., LTD</t>
  </si>
  <si>
    <t xml:space="preserve">7495042448940697900</t>
  </si>
  <si>
    <t xml:space="preserve">EMIRATE HOME APPLIANCES LTD</t>
  </si>
  <si>
    <t xml:space="preserve">Emirate Home Appliances Ltd</t>
  </si>
  <si>
    <t xml:space="preserve">emirate2230</t>
  </si>
  <si>
    <t xml:space="preserve">https://www.tiktok.com/@emirate2230</t>
  </si>
  <si>
    <t xml:space="preserve">2025-01-10</t>
  </si>
  <si>
    <t xml:space="preserve">7496031177300806584</t>
  </si>
  <si>
    <t xml:space="preserve">ZORAT UK</t>
  </si>
  <si>
    <t xml:space="preserve">7494678233245189371</t>
  </si>
  <si>
    <t xml:space="preserve">APEMAN UK LTD</t>
  </si>
  <si>
    <t xml:space="preserve">7494456309417151201</t>
  </si>
  <si>
    <t xml:space="preserve">Lubluelu-UK</t>
  </si>
  <si>
    <t xml:space="preserve">7494221867171874525</t>
  </si>
  <si>
    <t xml:space="preserve">LLWSHOP</t>
  </si>
  <si>
    <t xml:space="preserve">Guangdong Liao Liao Network Technology Co., Ltd.</t>
  </si>
  <si>
    <t xml:space="preserve">7495028888184850616</t>
  </si>
  <si>
    <t xml:space="preserve">MyDreamHouse</t>
  </si>
  <si>
    <t xml:space="preserve">Oriental Trade Links LTD</t>
  </si>
  <si>
    <t xml:space="preserve">7496125461026474523</t>
  </si>
  <si>
    <t xml:space="preserve">PetAir</t>
  </si>
  <si>
    <t xml:space="preserve">7494474742299592355</t>
  </si>
  <si>
    <t xml:space="preserve">Katie Barnes Tool Range</t>
  </si>
  <si>
    <t xml:space="preserve">KATIE BARNES TRAINING ACADEMY LTD</t>
  </si>
  <si>
    <t xml:space="preserve">7494818473865481193</t>
  </si>
  <si>
    <t xml:space="preserve">Necizon</t>
  </si>
  <si>
    <t xml:space="preserve">ALNOUMAN LTD</t>
  </si>
  <si>
    <t xml:space="preserve">7496025841483024447</t>
  </si>
  <si>
    <t xml:space="preserve">Aoemiyinguking</t>
  </si>
  <si>
    <t xml:space="preserve">Also £21.2K in Textiles ranking → combined ≈ £34.2K</t>
  </si>
  <si>
    <t xml:space="preserve">7494680611966846717</t>
  </si>
  <si>
    <t xml:space="preserve">NOYWER</t>
  </si>
  <si>
    <t xml:space="preserve">iwealmt05</t>
  </si>
  <si>
    <t xml:space="preserve">https://www.tiktok.com/@iwealmt05</t>
  </si>
  <si>
    <t xml:space="preserve">2025-03-25</t>
  </si>
  <si>
    <t xml:space="preserve">7496105918049520087</t>
  </si>
  <si>
    <t xml:space="preserve">Partyhouse979</t>
  </si>
  <si>
    <t xml:space="preserve">8.eight84</t>
  </si>
  <si>
    <t xml:space="preserve">https://www.tiktok.com/@8.eight84</t>
  </si>
  <si>
    <t xml:space="preserve">2025-11-29</t>
  </si>
  <si>
    <t xml:space="preserve">7494259526260196416</t>
  </si>
  <si>
    <t xml:space="preserve">Silentnight</t>
  </si>
  <si>
    <t xml:space="preserve">7494642494021994303</t>
  </si>
  <si>
    <t xml:space="preserve">Value Picks</t>
  </si>
  <si>
    <t xml:space="preserve">Ruian Yinlang Daily Necessities Trading Firm</t>
  </si>
  <si>
    <t xml:space="preserve">7495852311576677322</t>
  </si>
  <si>
    <t xml:space="preserve">JONR official</t>
  </si>
  <si>
    <t xml:space="preserve">2026-06-22</t>
  </si>
  <si>
    <t xml:space="preserve">7494654770061805079</t>
  </si>
  <si>
    <t xml:space="preserve">Fretta UK</t>
  </si>
  <si>
    <t xml:space="preserve">Yantai Lanpai Network Technology Co., Ltd</t>
  </si>
  <si>
    <t xml:space="preserve">7496304354731919820</t>
  </si>
  <si>
    <t xml:space="preserve">kelly beauty chic</t>
  </si>
  <si>
    <t xml:space="preserve">TSZ WING TRADING LTD</t>
  </si>
  <si>
    <t xml:space="preserve">Also £23.0K (Automotive) and £15.1K (Luggage) → combined ≈ £48.7K</t>
  </si>
  <si>
    <t xml:space="preserve">7496293536374033352</t>
  </si>
  <si>
    <t xml:space="preserve">Kids' Fashion</t>
  </si>
  <si>
    <t xml:space="preserve">Njhoneyking</t>
  </si>
  <si>
    <t xml:space="preserve">Nanjing Kubao Electronic Commerce Co., Ltd.</t>
  </si>
  <si>
    <t xml:space="preserve">7495703745605765412</t>
  </si>
  <si>
    <t xml:space="preserve">UltimateKids</t>
  </si>
  <si>
    <t xml:space="preserve">Valume Limited</t>
  </si>
  <si>
    <t xml:space="preserve">7496040539195279733</t>
  </si>
  <si>
    <t xml:space="preserve">Stock Up</t>
  </si>
  <si>
    <t xml:space="preserve">Ghayas Trading Ltd</t>
  </si>
  <si>
    <t xml:space="preserve">Menswear &amp; Underwear</t>
  </si>
  <si>
    <t xml:space="preserve">7494555890298489368</t>
  </si>
  <si>
    <t xml:space="preserve">YOUR'S FASHION</t>
  </si>
  <si>
    <t xml:space="preserve">LUCKY SCHOOL UNIFORM LTD</t>
  </si>
  <si>
    <t xml:space="preserve">7495337695236622898</t>
  </si>
  <si>
    <t xml:space="preserve">Snuggz</t>
  </si>
  <si>
    <t xml:space="preserve">7494247852171822785</t>
  </si>
  <si>
    <t xml:space="preserve">The Essentials Wardrobe</t>
  </si>
  <si>
    <t xml:space="preserve">Milords International Ltd</t>
  </si>
  <si>
    <t xml:space="preserve">7495343490622458460</t>
  </si>
  <si>
    <t xml:space="preserve">gettrend</t>
  </si>
  <si>
    <t xml:space="preserve">F&amp;F STORES LTD</t>
  </si>
  <si>
    <t xml:space="preserve">7495149915184204338</t>
  </si>
  <si>
    <t xml:space="preserve">Starlit Fox</t>
  </si>
  <si>
    <t xml:space="preserve">7494687160349525583</t>
  </si>
  <si>
    <t xml:space="preserve">Comfrt UK</t>
  </si>
  <si>
    <t xml:space="preserve">7494490073559106882</t>
  </si>
  <si>
    <t xml:space="preserve">Wojit</t>
  </si>
  <si>
    <t xml:space="preserve">Jinjiang Wojite Trading Co., Ltd.</t>
  </si>
  <si>
    <t xml:space="preserve">Also £15.3K in Shoes ranking → combined ≈ £32.4K</t>
  </si>
  <si>
    <t xml:space="preserve">7496147157339441503</t>
  </si>
  <si>
    <t xml:space="preserve">VanillaUnderground</t>
  </si>
  <si>
    <t xml:space="preserve">PREMIER P. LTD</t>
  </si>
  <si>
    <t xml:space="preserve">7495687517525674259</t>
  </si>
  <si>
    <t xml:space="preserve">Morph Costumes</t>
  </si>
  <si>
    <t xml:space="preserve">AFG MEDIA LTD</t>
  </si>
  <si>
    <t xml:space="preserve">morphcostumes</t>
  </si>
  <si>
    <t xml:space="preserve">https://www.tiktok.com/@morphcostumes</t>
  </si>
  <si>
    <t xml:space="preserve">2023-09-06</t>
  </si>
  <si>
    <t xml:space="preserve">7495021745533847811</t>
  </si>
  <si>
    <t xml:space="preserve">Pengyi Children's Shoes</t>
  </si>
  <si>
    <t xml:space="preserve">Taizhou Pengyi Footwear Co., Ltd.</t>
  </si>
  <si>
    <t xml:space="preserve">7495880333992626492</t>
  </si>
  <si>
    <t xml:space="preserve">Mini Haute</t>
  </si>
  <si>
    <t xml:space="preserve">7494537758821942374</t>
  </si>
  <si>
    <t xml:space="preserve">Label Cutters</t>
  </si>
  <si>
    <t xml:space="preserve">PARADISE CHILDRENS WEAR LIMITED</t>
  </si>
  <si>
    <t xml:space="preserve">label.cutters</t>
  </si>
  <si>
    <t xml:space="preserve">https://www.tiktok.com/@label.cutters</t>
  </si>
  <si>
    <t xml:space="preserve">7495009494783330952</t>
  </si>
  <si>
    <t xml:space="preserve">LBS PJs</t>
  </si>
  <si>
    <t xml:space="preserve">Hangzhou Lanbaosi Trading Co., Ltd.</t>
  </si>
  <si>
    <t xml:space="preserve">7495154605431557115</t>
  </si>
  <si>
    <t xml:space="preserve">CROCS UK</t>
  </si>
  <si>
    <t xml:space="preserve">Crocs Europe B.V.</t>
  </si>
  <si>
    <t xml:space="preserve">Also £21.8K in Luggage &amp; Bags ranking → combined ≈ £35.3K</t>
  </si>
  <si>
    <t xml:space="preserve">7496147334275566468</t>
  </si>
  <si>
    <t xml:space="preserve">Cub Quest</t>
  </si>
  <si>
    <t xml:space="preserve">8655739747381577604</t>
  </si>
  <si>
    <t xml:space="preserve">Chic Nerds</t>
  </si>
  <si>
    <t xml:space="preserve">8663451763746113239</t>
  </si>
  <si>
    <t xml:space="preserve">My Carry Potty</t>
  </si>
  <si>
    <t xml:space="preserve">My Carry Potty Limited</t>
  </si>
  <si>
    <t xml:space="preserve">7494700652106189511</t>
  </si>
  <si>
    <t xml:space="preserve">Wynsors</t>
  </si>
  <si>
    <t xml:space="preserve">COURTESY SHOES LIMITED</t>
  </si>
  <si>
    <t xml:space="preserve">Ranked £38.8K in Shoes (its main category) → above band</t>
  </si>
  <si>
    <t xml:space="preserve">7495444992830245814</t>
  </si>
  <si>
    <t xml:space="preserve">TOP TIER CO.</t>
  </si>
  <si>
    <t xml:space="preserve">Top Tier Clothing Ltd</t>
  </si>
  <si>
    <t xml:space="preserve">toptierco</t>
  </si>
  <si>
    <t xml:space="preserve">https://www.tiktok.com/@toptierco</t>
  </si>
  <si>
    <t xml:space="preserve">7494472182764111877</t>
  </si>
  <si>
    <t xml:space="preserve">G5 Apparel</t>
  </si>
  <si>
    <t xml:space="preserve">EK WHOLESALE LTD</t>
  </si>
  <si>
    <t xml:space="preserve">7495861851761380065</t>
  </si>
  <si>
    <t xml:space="preserve">Bella Bambini</t>
  </si>
  <si>
    <t xml:space="preserve">bella.bambini</t>
  </si>
  <si>
    <t xml:space="preserve">https://www.tiktok.com/@bella.bambini</t>
  </si>
  <si>
    <t xml:space="preserve">2023-03-09</t>
  </si>
  <si>
    <t xml:space="preserve">7494645826975402236</t>
  </si>
  <si>
    <t xml:space="preserve">Charming little princess</t>
  </si>
  <si>
    <t xml:space="preserve">Guangzhou Meiqi Ai Clothing Co., Ltd.</t>
  </si>
  <si>
    <t xml:space="preserve">7495154588063205913</t>
  </si>
  <si>
    <t xml:space="preserve">Snug Kids</t>
  </si>
  <si>
    <t xml:space="preserve">Puning Liusha Tansui Clothing Store</t>
  </si>
  <si>
    <t xml:space="preserve">7496051761500293754</t>
  </si>
  <si>
    <t xml:space="preserve">Chic Utensils</t>
  </si>
  <si>
    <t xml:space="preserve">Shenzhen Bao'an District Shangpinde Ceramic Home Furnishing Trading Firm</t>
  </si>
  <si>
    <t xml:space="preserve">7495974475196894155</t>
  </si>
  <si>
    <t xml:space="preserve">Home Pulse Essentials</t>
  </si>
  <si>
    <t xml:space="preserve">THEIASTRADE LIMITED</t>
  </si>
  <si>
    <t xml:space="preserve">Also £16.6K (Baby), £20.6K (Tools) and £13.3K (Automotive) → combined ≈ £75.7K</t>
  </si>
  <si>
    <t xml:space="preserve">7496134676313639697</t>
  </si>
  <si>
    <t xml:space="preserve">Brits Home Garden</t>
  </si>
  <si>
    <t xml:space="preserve">JANOON LTD</t>
  </si>
  <si>
    <t xml:space="preserve">7495407685748885902</t>
  </si>
  <si>
    <t xml:space="preserve">Orangecom</t>
  </si>
  <si>
    <t xml:space="preserve">2026-07-30</t>
  </si>
  <si>
    <t xml:space="preserve">7494787915138893803</t>
  </si>
  <si>
    <t xml:space="preserve">BT International</t>
  </si>
  <si>
    <t xml:space="preserve">BIN TAHIR INTERNATIONAL LIMITED</t>
  </si>
  <si>
    <t xml:space="preserve">bt.international1</t>
  </si>
  <si>
    <t xml:space="preserve">https://www.tiktok.com/@bt.international1</t>
  </si>
  <si>
    <t xml:space="preserve">2025-02-07</t>
  </si>
  <si>
    <t xml:space="preserve">7495992110507395229</t>
  </si>
  <si>
    <t xml:space="preserve">Anyvoyage LTD</t>
  </si>
  <si>
    <t xml:space="preserve">ANYVOYAGE LTD</t>
  </si>
  <si>
    <t xml:space="preserve">Also £23.4K in Furniture ranking → combined ≈ £45.3K</t>
  </si>
  <si>
    <t xml:space="preserve">7496139229169421133</t>
  </si>
  <si>
    <t xml:space="preserve">HomeLive Furniture</t>
  </si>
  <si>
    <t xml:space="preserve">SWIFTGLOBE LIMITED</t>
  </si>
  <si>
    <t xml:space="preserve">Also £16.3K (Furniture) and £25.1K (Home Improvement) → combined ≈ £62.5K</t>
  </si>
  <si>
    <t xml:space="preserve">homelivestore</t>
  </si>
  <si>
    <t xml:space="preserve">https://www.tiktok.com/@homelivestore</t>
  </si>
  <si>
    <t xml:space="preserve">2025-03-12</t>
  </si>
  <si>
    <t xml:space="preserve">7496109939937151757</t>
  </si>
  <si>
    <t xml:space="preserve">Cool Friends</t>
  </si>
  <si>
    <t xml:space="preserve">Yiwu Kuyou Electronic Commerce Co., Ltd.</t>
  </si>
  <si>
    <t xml:space="preserve">7495494392411490631</t>
  </si>
  <si>
    <t xml:space="preserve">The Ordinary Store UK</t>
  </si>
  <si>
    <t xml:space="preserve">DECIEM UK LTD.</t>
  </si>
  <si>
    <t xml:space="preserve">7495946411494640638</t>
  </si>
  <si>
    <t xml:space="preserve">Sodastream UK</t>
  </si>
  <si>
    <t xml:space="preserve">7494403467480958215</t>
  </si>
  <si>
    <t xml:space="preserve">Nifogo Deals</t>
  </si>
  <si>
    <t xml:space="preserve">NEATKITCHEN CREATIONS LTD</t>
  </si>
  <si>
    <t xml:space="preserve">Also £20.4K in Furniture ranking → combined ≈ £39.5K</t>
  </si>
  <si>
    <t xml:space="preserve">7495911000806885905</t>
  </si>
  <si>
    <t xml:space="preserve">VivaCup</t>
  </si>
  <si>
    <t xml:space="preserve">7494099546230457606</t>
  </si>
  <si>
    <t xml:space="preserve">plmakeupacademy</t>
  </si>
  <si>
    <t xml:space="preserve">PL DISTRIBUTION LTD</t>
  </si>
  <si>
    <t xml:space="preserve">Also £32.9K in Computers &amp; Office ranking → combined ≈ £51.7K</t>
  </si>
  <si>
    <t xml:space="preserve">7494608413204122336</t>
  </si>
  <si>
    <t xml:space="preserve">Tidyz</t>
  </si>
  <si>
    <t xml:space="preserve">Pet Supplies</t>
  </si>
  <si>
    <t xml:space="preserve">7494764631438952180</t>
  </si>
  <si>
    <t xml:space="preserve">BRITA UK</t>
  </si>
  <si>
    <t xml:space="preserve">BRITA WATER FILTER SYSTEMS LIMITED</t>
  </si>
  <si>
    <t xml:space="preserve">Also £14.1K in Household Appliances ranking → combined ≈ £32.6K</t>
  </si>
  <si>
    <t xml:space="preserve">7495360704424478928</t>
  </si>
  <si>
    <t xml:space="preserve">Sassy Sips</t>
  </si>
  <si>
    <t xml:space="preserve">Sassy Sips UK</t>
  </si>
  <si>
    <t xml:space="preserve">7495348844776294967</t>
  </si>
  <si>
    <t xml:space="preserve">BERLITE TRADING</t>
  </si>
  <si>
    <t xml:space="preserve">BERLITE TRADING CO. LTD</t>
  </si>
  <si>
    <t xml:space="preserve">Also £19.9K in Health ranking → combined ≈ £36.4K</t>
  </si>
  <si>
    <t xml:space="preserve">7495210776830315268</t>
  </si>
  <si>
    <t xml:space="preserve">Simp Cup</t>
  </si>
  <si>
    <t xml:space="preserve">Yiwu Muchu Trading Co., Ltd.</t>
  </si>
  <si>
    <t xml:space="preserve">7496019763000608891</t>
  </si>
  <si>
    <t xml:space="preserve">TNSR ST</t>
  </si>
  <si>
    <t xml:space="preserve">7494753453953680774</t>
  </si>
  <si>
    <t xml:space="preserve">Lenak</t>
  </si>
  <si>
    <t xml:space="preserve">Lenak Marketing Ltd</t>
  </si>
  <si>
    <t xml:space="preserve">lenakliving</t>
  </si>
  <si>
    <t xml:space="preserve">https://www.tiktok.com/@lenakliving</t>
  </si>
  <si>
    <t xml:space="preserve">2024-03-06</t>
  </si>
  <si>
    <t xml:space="preserve">7495626545940826826</t>
  </si>
  <si>
    <t xml:space="preserve">HOUSELIVE KITCHENWARE</t>
  </si>
  <si>
    <t xml:space="preserve">7496099161427970366</t>
  </si>
  <si>
    <t xml:space="preserve">Fan Favorites</t>
  </si>
  <si>
    <t xml:space="preserve">TooHot Limited</t>
  </si>
  <si>
    <t xml:space="preserve">7495316311260171254</t>
  </si>
  <si>
    <t xml:space="preserve">Intrelife</t>
  </si>
  <si>
    <t xml:space="preserve">Warp Point (Shenzhen) Technology Co., Ltd.</t>
  </si>
  <si>
    <t xml:space="preserve">7495308402804951192</t>
  </si>
  <si>
    <t xml:space="preserve">YINUOCOMMODITY</t>
  </si>
  <si>
    <t xml:space="preserve">Dongguan Yinuo Daily Necessities Co., Ltd.</t>
  </si>
  <si>
    <t xml:space="preserve">7495443172773955974</t>
  </si>
  <si>
    <t xml:space="preserve">GREENSAPPIRE LTD</t>
  </si>
  <si>
    <t xml:space="preserve">7496226745688820553</t>
  </si>
  <si>
    <t xml:space="preserve">Hayz Creations</t>
  </si>
  <si>
    <t xml:space="preserve">Hayz Creations LTD</t>
  </si>
  <si>
    <t xml:space="preserve">hayzcreations</t>
  </si>
  <si>
    <t xml:space="preserve">https://www.tiktok.com/@hayzcreations</t>
  </si>
  <si>
    <t xml:space="preserve">2023-09-14</t>
  </si>
  <si>
    <t xml:space="preserve">7494985189897504884</t>
  </si>
  <si>
    <t xml:space="preserve">Luggage &amp; Bags</t>
  </si>
  <si>
    <t xml:space="preserve">WOWTRAVEL</t>
  </si>
  <si>
    <t xml:space="preserve">ABZTRADINGUK LTD</t>
  </si>
  <si>
    <t xml:space="preserve">7494910371489679793</t>
  </si>
  <si>
    <t xml:space="preserve">Miss LuLu Bags</t>
  </si>
  <si>
    <t xml:space="preserve">Moon Fashion Limited</t>
  </si>
  <si>
    <t xml:space="preserve">misslulubags</t>
  </si>
  <si>
    <t xml:space="preserve">https://www.tiktok.com/@misslulubags</t>
  </si>
  <si>
    <t xml:space="preserve">2022-07-19</t>
  </si>
  <si>
    <t xml:space="preserve">7494530132500580440</t>
  </si>
  <si>
    <t xml:space="preserve">zekre</t>
  </si>
  <si>
    <t xml:space="preserve">7494220744084849910</t>
  </si>
  <si>
    <t xml:space="preserve">NAIRA</t>
  </si>
  <si>
    <t xml:space="preserve">7494642134508995780</t>
  </si>
  <si>
    <t xml:space="preserve">SUFKGHAJKFVHSJAFGHALS</t>
  </si>
  <si>
    <t xml:space="preserve">7494388446989682452</t>
  </si>
  <si>
    <t xml:space="preserve">Maxoner Bag</t>
  </si>
  <si>
    <t xml:space="preserve">Baoding Yashangjie Leather Goods Manufacturing Co., Ltd.</t>
  </si>
  <si>
    <t xml:space="preserve">7495168137809201476</t>
  </si>
  <si>
    <t xml:space="preserve">Luggageonline1</t>
  </si>
  <si>
    <t xml:space="preserve">7494454767126348881</t>
  </si>
  <si>
    <t xml:space="preserve">MIYIN Luggage</t>
  </si>
  <si>
    <t xml:space="preserve">Guangzhou Taoyin Leather Goods Co., Ltd.</t>
  </si>
  <si>
    <t xml:space="preserve">7495398329906727889</t>
  </si>
  <si>
    <t xml:space="preserve">Easy Bag</t>
  </si>
  <si>
    <t xml:space="preserve">Baigou Xincheng Semba Luggage Factory</t>
  </si>
  <si>
    <t xml:space="preserve">7495478644661389742</t>
  </si>
  <si>
    <t xml:space="preserve">ZS BAG</t>
  </si>
  <si>
    <t xml:space="preserve">Baoding Zhenshang Xiangbao Manufacturing Co., Ltd.</t>
  </si>
  <si>
    <t xml:space="preserve">7495168128170101309</t>
  </si>
  <si>
    <t xml:space="preserve">Sheonly UK</t>
  </si>
  <si>
    <t xml:space="preserve">TAM TAM TRADE LIMITED</t>
  </si>
  <si>
    <t xml:space="preserve">7495744857890524101</t>
  </si>
  <si>
    <t xml:space="preserve">Carry on Luggage</t>
  </si>
  <si>
    <t xml:space="preserve">7494114513721590792</t>
  </si>
  <si>
    <t xml:space="preserve">Aerolite Luggage UK</t>
  </si>
  <si>
    <t xml:space="preserve">USB INTERNATIONAL LIMITED</t>
  </si>
  <si>
    <t xml:space="preserve">7495916131541092759</t>
  </si>
  <si>
    <t xml:space="preserve">Wolf bag</t>
  </si>
  <si>
    <t xml:space="preserve">Guangzhou Aolang Trading Co., Ltd.</t>
  </si>
  <si>
    <t xml:space="preserve">7495162408276494622</t>
  </si>
  <si>
    <t xml:space="preserve">Sleek Sack</t>
  </si>
  <si>
    <t xml:space="preserve">7494325704764851319</t>
  </si>
  <si>
    <t xml:space="preserve">Yesfover</t>
  </si>
  <si>
    <t xml:space="preserve">7496199852562549627</t>
  </si>
  <si>
    <t xml:space="preserve">Lossga</t>
  </si>
  <si>
    <t xml:space="preserve">7494154025390278213</t>
  </si>
  <si>
    <t xml:space="preserve">cloud.knit</t>
  </si>
  <si>
    <t xml:space="preserve">7494231587137881355</t>
  </si>
  <si>
    <t xml:space="preserve">SoRealistic</t>
  </si>
  <si>
    <t xml:space="preserve">7495064133044439098</t>
  </si>
  <si>
    <t xml:space="preserve">Cloud Bag</t>
  </si>
  <si>
    <t xml:space="preserve">7494625565810066631</t>
  </si>
  <si>
    <t xml:space="preserve">Planet Direct</t>
  </si>
  <si>
    <t xml:space="preserve">PLANET DIRECT LIMITED</t>
  </si>
  <si>
    <t xml:space="preserve">7495168335595472911</t>
  </si>
  <si>
    <t xml:space="preserve">Laura Richards Boutique</t>
  </si>
  <si>
    <t xml:space="preserve">LAURA RICHARDS BOUTIQUE LIMITED</t>
  </si>
  <si>
    <t xml:space="preserve">laurarichardsboutique</t>
  </si>
  <si>
    <t xml:space="preserve">https://www.tiktok.com/@laurarichardsboutique</t>
  </si>
  <si>
    <t xml:space="preserve">2023-05-08</t>
  </si>
  <si>
    <t xml:space="preserve">7494868743683672828</t>
  </si>
  <si>
    <t xml:space="preserve">YOHI BAG</t>
  </si>
  <si>
    <t xml:space="preserve">Guangzhou Yabo Xiangbao Co., Ltd.</t>
  </si>
  <si>
    <t xml:space="preserve">7495290860362893482</t>
  </si>
  <si>
    <t xml:space="preserve">JLY Luggage UK</t>
  </si>
  <si>
    <t xml:space="preserve">JLY UK LTD</t>
  </si>
  <si>
    <t xml:space="preserve">7495862001326262629</t>
  </si>
  <si>
    <t xml:space="preserve">GeorgiaTheIslander</t>
  </si>
  <si>
    <t xml:space="preserve">7495759591644236205</t>
  </si>
  <si>
    <t xml:space="preserve">Xiqi apparel</t>
  </si>
  <si>
    <t xml:space="preserve">Guangzhou Zengcheng Xiqi Clothing Store</t>
  </si>
  <si>
    <t xml:space="preserve">7496045910372289331</t>
  </si>
  <si>
    <t xml:space="preserve">SportHub</t>
  </si>
  <si>
    <t xml:space="preserve">7494540493863225234</t>
  </si>
  <si>
    <t xml:space="preserve">Male Style Jazz</t>
  </si>
  <si>
    <t xml:space="preserve">Shishi Nange Jazz Trading Co., Ltd.</t>
  </si>
  <si>
    <t xml:space="preserve">7495165507107064461</t>
  </si>
  <si>
    <t xml:space="preserve">FREEDOM WIND</t>
  </si>
  <si>
    <t xml:space="preserve">Guangzhou Kuke Clothing Co., Ltd.</t>
  </si>
  <si>
    <t xml:space="preserve">7495563485465905422</t>
  </si>
  <si>
    <t xml:space="preserve">Wansu Clothing</t>
  </si>
  <si>
    <t xml:space="preserve">8648357223950949117</t>
  </si>
  <si>
    <t xml:space="preserve">NY Sportswear</t>
  </si>
  <si>
    <t xml:space="preserve">7494124863611831808</t>
  </si>
  <si>
    <t xml:space="preserve">cool men cool</t>
  </si>
  <si>
    <t xml:space="preserve">8671212397021660513</t>
  </si>
  <si>
    <t xml:space="preserve">Reppunk</t>
  </si>
  <si>
    <t xml:space="preserve">Guangzhou Kanye Clothing Co., Ltd.</t>
  </si>
  <si>
    <t xml:space="preserve">7495466727778191928</t>
  </si>
  <si>
    <t xml:space="preserve">StepNow</t>
  </si>
  <si>
    <t xml:space="preserve">2026-06-25</t>
  </si>
  <si>
    <t xml:space="preserve">7494101192283882817</t>
  </si>
  <si>
    <t xml:space="preserve">EXO EXCEPTIONAL ORIGINALS</t>
  </si>
  <si>
    <t xml:space="preserve">user1921367778827</t>
  </si>
  <si>
    <t xml:space="preserve">https://www.tiktok.com/@user1921367778827</t>
  </si>
  <si>
    <t xml:space="preserve">2026-03-08</t>
  </si>
  <si>
    <t xml:space="preserve">7494416149332395487</t>
  </si>
  <si>
    <t xml:space="preserve">Clear Cut Gents</t>
  </si>
  <si>
    <t xml:space="preserve">Guangzhou Bangyue Fushi Co., Ltd.</t>
  </si>
  <si>
    <t xml:space="preserve">7496027516524136768</t>
  </si>
  <si>
    <t xml:space="preserve">Golfbase</t>
  </si>
  <si>
    <t xml:space="preserve">Golfbase Limited</t>
  </si>
  <si>
    <t xml:space="preserve">7496129616391474057</t>
  </si>
  <si>
    <t xml:space="preserve">Sitting pretty</t>
  </si>
  <si>
    <t xml:space="preserve">I'M SITTING PRETTY LTD</t>
  </si>
  <si>
    <t xml:space="preserve">7494968514884635430</t>
  </si>
  <si>
    <t xml:space="preserve">Leisure Tailor Co.</t>
  </si>
  <si>
    <t xml:space="preserve">7496260148372408991</t>
  </si>
  <si>
    <t xml:space="preserve">GlareBan Store</t>
  </si>
  <si>
    <t xml:space="preserve">Jinjiang Tuofu Electronic Commerce Co., Ltd.</t>
  </si>
  <si>
    <t xml:space="preserve">7495179661780552152</t>
  </si>
  <si>
    <t xml:space="preserve">CONJUESS FASHION</t>
  </si>
  <si>
    <t xml:space="preserve">Foshan Yadi Zhiyi Co., Ltd.</t>
  </si>
  <si>
    <t xml:space="preserve">7495172199169887220</t>
  </si>
  <si>
    <t xml:space="preserve">Luxe Fiber</t>
  </si>
  <si>
    <t xml:space="preserve">Shishi City Yipin Guanren Trade Co., Ltd.</t>
  </si>
  <si>
    <t xml:space="preserve">7496081604149610533</t>
  </si>
  <si>
    <t xml:space="preserve">Silver Birch Outlet</t>
  </si>
  <si>
    <t xml:space="preserve">ANSWER DIRECT LIMITED</t>
  </si>
  <si>
    <t xml:space="preserve">silverbirchclothing</t>
  </si>
  <si>
    <t xml:space="preserve">https://www.tiktok.com/@silverbirchclothing</t>
  </si>
  <si>
    <t xml:space="preserve">7494808370965285337</t>
  </si>
  <si>
    <t xml:space="preserve">Macropick</t>
  </si>
  <si>
    <t xml:space="preserve">macropick85</t>
  </si>
  <si>
    <t xml:space="preserve">https://www.tiktok.com/@macropick85</t>
  </si>
  <si>
    <t xml:space="preserve">2026-02-17</t>
  </si>
  <si>
    <t xml:space="preserve">7494410328226694954</t>
  </si>
  <si>
    <t xml:space="preserve">shuai en Trading</t>
  </si>
  <si>
    <t xml:space="preserve">Quanzhou Shi Shuen Trading Co., Ltd.</t>
  </si>
  <si>
    <t xml:space="preserve">7495159844089006524</t>
  </si>
  <si>
    <t xml:space="preserve">Wondoo outdoor clothing</t>
  </si>
  <si>
    <t xml:space="preserve">Shishi Wangdu Clothing Co., Ltd.</t>
  </si>
  <si>
    <t xml:space="preserve">7495642283401972138</t>
  </si>
  <si>
    <t xml:space="preserve">MANLENS</t>
  </si>
  <si>
    <t xml:space="preserve">8647987967289366995</t>
  </si>
  <si>
    <t xml:space="preserve">Funtra</t>
  </si>
  <si>
    <t xml:space="preserve">FUNTRA LIMITED</t>
  </si>
  <si>
    <t xml:space="preserve">7496163914570894269</t>
  </si>
  <si>
    <t xml:space="preserve">Dadity</t>
  </si>
  <si>
    <t xml:space="preserve">OU BOOKS LIMITED</t>
  </si>
  <si>
    <t xml:space="preserve">7496093875337726608</t>
  </si>
  <si>
    <t xml:space="preserve">Fashion Hype</t>
  </si>
  <si>
    <t xml:space="preserve">7494379581982606946</t>
  </si>
  <si>
    <t xml:space="preserve">Jack wilk</t>
  </si>
  <si>
    <t xml:space="preserve">Qingyuan Changwei Apparel Trading Co., Ltd.</t>
  </si>
  <si>
    <t xml:space="preserve">7495645181314107799</t>
  </si>
  <si>
    <t xml:space="preserve">MS Mens Clothing</t>
  </si>
  <si>
    <t xml:space="preserve">8649766603916417339</t>
  </si>
  <si>
    <t xml:space="preserve">Budget Elegant Men</t>
  </si>
  <si>
    <t xml:space="preserve">Shantou Chaonan District Xiashan De Xinya Clothing Store</t>
  </si>
  <si>
    <t xml:space="preserve">7496134871334226665</t>
  </si>
  <si>
    <t xml:space="preserve">Sleek Tactics</t>
  </si>
  <si>
    <t xml:space="preserve">Quanzhou Songpan Trading Co., Ltd.</t>
  </si>
  <si>
    <t xml:space="preserve">7495903839816813509</t>
  </si>
  <si>
    <t xml:space="preserve">Chic Denim Splash</t>
  </si>
  <si>
    <t xml:space="preserve">8665161226241279674</t>
  </si>
  <si>
    <t xml:space="preserve">Muslim Fashion</t>
  </si>
  <si>
    <t xml:space="preserve">Chowdhury Collection</t>
  </si>
  <si>
    <t xml:space="preserve">CHOWDHURY DRESS AND ABAYA HOUSE LTD</t>
  </si>
  <si>
    <t xml:space="preserve">7495305325630490676</t>
  </si>
  <si>
    <t xml:space="preserve">Libaas By Nazish</t>
  </si>
  <si>
    <t xml:space="preserve">Libaas By Nazish Ltd</t>
  </si>
  <si>
    <t xml:space="preserve">7495873539220277621</t>
  </si>
  <si>
    <t xml:space="preserve">Nuraah</t>
  </si>
  <si>
    <t xml:space="preserve">7494625954854635799</t>
  </si>
  <si>
    <t xml:space="preserve">Shirin modest wear UK</t>
  </si>
  <si>
    <t xml:space="preserve">AFTER A STORM COMES A CALM LIMITED</t>
  </si>
  <si>
    <t xml:space="preserve">shirin_collection0_uk</t>
  </si>
  <si>
    <t xml:space="preserve">https://www.tiktok.com/@shirin_collection0_uk</t>
  </si>
  <si>
    <t xml:space="preserve">2023-10-08</t>
  </si>
  <si>
    <t xml:space="preserve">7495281424408152824</t>
  </si>
  <si>
    <t xml:space="preserve">House Of Haniya</t>
  </si>
  <si>
    <t xml:space="preserve">7495040413395945960</t>
  </si>
  <si>
    <t xml:space="preserve">Dress Sense</t>
  </si>
  <si>
    <t xml:space="preserve">7495858487863708602</t>
  </si>
  <si>
    <t xml:space="preserve">Eazy_dresses</t>
  </si>
  <si>
    <t xml:space="preserve">BLUE CARRIAGE LTD</t>
  </si>
  <si>
    <t xml:space="preserve">eazy_dresses</t>
  </si>
  <si>
    <t xml:space="preserve">https://www.tiktok.com/@eazy_dresses</t>
  </si>
  <si>
    <t xml:space="preserve">2023-01-12</t>
  </si>
  <si>
    <t xml:space="preserve">7494603233220594280</t>
  </si>
  <si>
    <t xml:space="preserve">ChamakModest</t>
  </si>
  <si>
    <t xml:space="preserve">Designer clothing (mcr) ltd</t>
  </si>
  <si>
    <t xml:space="preserve">7495702746312312926</t>
  </si>
  <si>
    <t xml:space="preserve">Zuni Thread</t>
  </si>
  <si>
    <t xml:space="preserve">7494525487002977301</t>
  </si>
  <si>
    <t xml:space="preserve">Modest Abayas</t>
  </si>
  <si>
    <t xml:space="preserve">8674426221600475073</t>
  </si>
  <si>
    <t xml:space="preserve">ruisusu Marketplace</t>
  </si>
  <si>
    <t xml:space="preserve">2026-06-23</t>
  </si>
  <si>
    <t xml:space="preserve">7494673487618017105</t>
  </si>
  <si>
    <t xml:space="preserve">Chic Elegance Dress</t>
  </si>
  <si>
    <t xml:space="preserve">7494582559166465881</t>
  </si>
  <si>
    <t xml:space="preserve">SY-Ornaments</t>
  </si>
  <si>
    <t xml:space="preserve">7494125171680773365</t>
  </si>
  <si>
    <t xml:space="preserve">Muslim Cloaks</t>
  </si>
  <si>
    <t xml:space="preserve">Foshan Yibeizi Apparel Co., Ltd.</t>
  </si>
  <si>
    <t xml:space="preserve">7496147893557102687</t>
  </si>
  <si>
    <t xml:space="preserve">Bee abayas</t>
  </si>
  <si>
    <t xml:space="preserve">7496313535135320479</t>
  </si>
  <si>
    <t xml:space="preserve">Modest Abaya</t>
  </si>
  <si>
    <t xml:space="preserve">Guang zhou shi yue xiu qu chao meng shi zhuang shang hang</t>
  </si>
  <si>
    <t xml:space="preserve">7495562056939834365</t>
  </si>
  <si>
    <t xml:space="preserve">FashionMaison</t>
  </si>
  <si>
    <t xml:space="preserve">7495204801904805894</t>
  </si>
  <si>
    <t xml:space="preserve">Bluestones</t>
  </si>
  <si>
    <t xml:space="preserve">bluestonesmodestfashion1</t>
  </si>
  <si>
    <t xml:space="preserve">https://www.tiktok.com/@bluestonesmodestfashion1</t>
  </si>
  <si>
    <t xml:space="preserve">2023-06-26</t>
  </si>
  <si>
    <t xml:space="preserve">7495084660126419682</t>
  </si>
  <si>
    <t xml:space="preserve">Musleemat</t>
  </si>
  <si>
    <t xml:space="preserve">MUSLEEMAT LTD</t>
  </si>
  <si>
    <t xml:space="preserve">7495350896095561800</t>
  </si>
  <si>
    <t xml:space="preserve">HOUSE OF NOORAH</t>
  </si>
  <si>
    <t xml:space="preserve">HouseofNoor</t>
  </si>
  <si>
    <t xml:space="preserve">7496139642347292989</t>
  </si>
  <si>
    <t xml:space="preserve">Living and Home UK</t>
  </si>
  <si>
    <t xml:space="preserve">LIVING AND HOME LIMITED</t>
  </si>
  <si>
    <t xml:space="preserve">7494552045064128969</t>
  </si>
  <si>
    <t xml:space="preserve">Manor Farm Dog Treats</t>
  </si>
  <si>
    <t xml:space="preserve">manorfarmdogtreats</t>
  </si>
  <si>
    <t xml:space="preserve">https://www.tiktok.com/@manorfarmdogtreats</t>
  </si>
  <si>
    <t xml:space="preserve">7495182733713705045</t>
  </si>
  <si>
    <t xml:space="preserve">Thinkprice</t>
  </si>
  <si>
    <t xml:space="preserve">Vivo Technologies Limited</t>
  </si>
  <si>
    <t xml:space="preserve">Also £42.6K (Home Improvement) and £34.4K (Automotive) → well above band</t>
  </si>
  <si>
    <t xml:space="preserve">7494844328726595706</t>
  </si>
  <si>
    <t xml:space="preserve">PAWLICIOUS</t>
  </si>
  <si>
    <t xml:space="preserve">7494601824272287193</t>
  </si>
  <si>
    <t xml:space="preserve">Home-Store</t>
  </si>
  <si>
    <t xml:space="preserve">7494863434445654405</t>
  </si>
  <si>
    <t xml:space="preserve">Petclear UK</t>
  </si>
  <si>
    <t xml:space="preserve">LINGCHUAN LTD</t>
  </si>
  <si>
    <t xml:space="preserve">7495996894187653778</t>
  </si>
  <si>
    <t xml:space="preserve">WonderPaws Studio</t>
  </si>
  <si>
    <t xml:space="preserve">7494543067232634326</t>
  </si>
  <si>
    <t xml:space="preserve">Riverside Pet</t>
  </si>
  <si>
    <t xml:space="preserve">HYPERSONIC WHOLESALE LTD</t>
  </si>
  <si>
    <t xml:space="preserve">7495155952172436474</t>
  </si>
  <si>
    <t xml:space="preserve">The Delicious Dog Food Company</t>
  </si>
  <si>
    <t xml:space="preserve">thedeliciousdogfoodco</t>
  </si>
  <si>
    <t xml:space="preserve">https://www.tiktok.com/@thedeliciousdogfoodco</t>
  </si>
  <si>
    <t xml:space="preserve">2025-04-19</t>
  </si>
  <si>
    <t xml:space="preserve">7496136239388395952</t>
  </si>
  <si>
    <t xml:space="preserve">Raw Direct</t>
  </si>
  <si>
    <t xml:space="preserve">7495919050091629180</t>
  </si>
  <si>
    <t xml:space="preserve">AnnieJames</t>
  </si>
  <si>
    <t xml:space="preserve">Annie James Trading Limited</t>
  </si>
  <si>
    <t xml:space="preserve">7494246941151693377</t>
  </si>
  <si>
    <t xml:space="preserve">Rydale</t>
  </si>
  <si>
    <t xml:space="preserve">YTC Limited</t>
  </si>
  <si>
    <t xml:space="preserve">7494896205972867337</t>
  </si>
  <si>
    <t xml:space="preserve">Play9 Store</t>
  </si>
  <si>
    <t xml:space="preserve">7496269162594208506</t>
  </si>
  <si>
    <t xml:space="preserve">Puainta UK</t>
  </si>
  <si>
    <t xml:space="preserve">LAMAR RETAIL LTD</t>
  </si>
  <si>
    <t xml:space="preserve">7496079382215887019</t>
  </si>
  <si>
    <t xml:space="preserve">Onlinehomeshop</t>
  </si>
  <si>
    <t xml:space="preserve">Online Home Shop LIMITED</t>
  </si>
  <si>
    <t xml:space="preserve">Also £18.4K in Home Supplies ranking → combined ≈ £40.3K</t>
  </si>
  <si>
    <t xml:space="preserve">7494477044510853251</t>
  </si>
  <si>
    <t xml:space="preserve">Groomi Pet Care</t>
  </si>
  <si>
    <t xml:space="preserve">Groomi Limited</t>
  </si>
  <si>
    <t xml:space="preserve">groomitooluk</t>
  </si>
  <si>
    <t xml:space="preserve">https://www.tiktok.com/@groomitooluk</t>
  </si>
  <si>
    <t xml:space="preserve">7494416441758223129</t>
  </si>
  <si>
    <t xml:space="preserve">Biokitty</t>
  </si>
  <si>
    <t xml:space="preserve">lexell impex limited</t>
  </si>
  <si>
    <t xml:space="preserve">7495784237965609342</t>
  </si>
  <si>
    <t xml:space="preserve">WinkHomi UK</t>
  </si>
  <si>
    <t xml:space="preserve">7494507053928580258</t>
  </si>
  <si>
    <t xml:space="preserve">MarketMax LTD</t>
  </si>
  <si>
    <t xml:space="preserve">MARKETMAX LTD</t>
  </si>
  <si>
    <t xml:space="preserve">7495753393812769128</t>
  </si>
  <si>
    <t xml:space="preserve">India's Hamster Rescue</t>
  </si>
  <si>
    <t xml:space="preserve">7495946166314830156</t>
  </si>
  <si>
    <t xml:space="preserve">Yipetor UK</t>
  </si>
  <si>
    <t xml:space="preserve">7494324279614014521</t>
  </si>
  <si>
    <t xml:space="preserve">HAPPYCODE GLOBAL</t>
  </si>
  <si>
    <t xml:space="preserve">7494470096371221659</t>
  </si>
  <si>
    <t xml:space="preserve">Himmaleh</t>
  </si>
  <si>
    <t xml:space="preserve">7494716108666603070</t>
  </si>
  <si>
    <t xml:space="preserve">Carmelie Pet Store</t>
  </si>
  <si>
    <t xml:space="preserve">7494114125918603063</t>
  </si>
  <si>
    <t xml:space="preserve">Pawfy UK</t>
  </si>
  <si>
    <t xml:space="preserve">2026-06-30</t>
  </si>
  <si>
    <t xml:space="preserve">7494704456342996812</t>
  </si>
  <si>
    <t xml:space="preserve">Pecute</t>
  </si>
  <si>
    <t xml:space="preserve">SHENZHENtiandengdianziSHANGWUYOUXIANGONGSI</t>
  </si>
  <si>
    <t xml:space="preserve">7496110899394742789</t>
  </si>
  <si>
    <t xml:space="preserve">Your PetJesty</t>
  </si>
  <si>
    <t xml:space="preserve">OPTIMA WELLNESS LIMITED</t>
  </si>
  <si>
    <t xml:space="preserve">7495362984286063415</t>
  </si>
  <si>
    <t xml:space="preserve">Tetrapod In House</t>
  </si>
  <si>
    <t xml:space="preserve">Shanghai Gongchuang Culture Communication Co., Ltd.</t>
  </si>
  <si>
    <t xml:space="preserve">7495154606754007100</t>
  </si>
  <si>
    <t xml:space="preserve">WESEECASEUK</t>
  </si>
  <si>
    <t xml:space="preserve">7496200888650074597</t>
  </si>
  <si>
    <t xml:space="preserve">JS Store</t>
  </si>
  <si>
    <t xml:space="preserve">7494529734180898660</t>
  </si>
  <si>
    <t xml:space="preserve">Chajaede</t>
  </si>
  <si>
    <t xml:space="preserve">7494271657123415713</t>
  </si>
  <si>
    <t xml:space="preserve">HAZEL Factory Direct</t>
  </si>
  <si>
    <t xml:space="preserve">Shaanxi Huazhao Zhidai Technology Co., Ltd.</t>
  </si>
  <si>
    <t xml:space="preserve">7495578189898811591</t>
  </si>
  <si>
    <t xml:space="preserve">LUSBY UK</t>
  </si>
  <si>
    <t xml:space="preserve">7494259305092449675</t>
  </si>
  <si>
    <t xml:space="preserve">Mykit Smart</t>
  </si>
  <si>
    <t xml:space="preserve">8669397598491740086</t>
  </si>
  <si>
    <t xml:space="preserve">NexMart.UK</t>
  </si>
  <si>
    <t xml:space="preserve">7494662514394039765</t>
  </si>
  <si>
    <t xml:space="preserve">Sleek Trendy Home</t>
  </si>
  <si>
    <t xml:space="preserve">Yueyang Haoxing Supply Chain Co., Ltd.</t>
  </si>
  <si>
    <t xml:space="preserve">7496233645504956631</t>
  </si>
  <si>
    <t xml:space="preserve">TechEase</t>
  </si>
  <si>
    <t xml:space="preserve">Shenzhenshi Houtian Xinxikeji Youxiangongsi</t>
  </si>
  <si>
    <t xml:space="preserve">7495159703061629135</t>
  </si>
  <si>
    <t xml:space="preserve">Yunfei shop</t>
  </si>
  <si>
    <t xml:space="preserve">Lusong District Yunfei Forestry Store</t>
  </si>
  <si>
    <t xml:space="preserve">7495378673625499850</t>
  </si>
  <si>
    <t xml:space="preserve">Timechic</t>
  </si>
  <si>
    <t xml:space="preserve">8647768569586031054</t>
  </si>
  <si>
    <t xml:space="preserve">QVC UK</t>
  </si>
  <si>
    <t xml:space="preserve">Also £15.2K (Shoes) and £14.4K (Kitchenware) → combined ≈ £42.1K; large retailer (QVC)</t>
  </si>
  <si>
    <t xml:space="preserve">7496052564698762045</t>
  </si>
  <si>
    <t xml:space="preserve">XQiuyan Lights</t>
  </si>
  <si>
    <t xml:space="preserve">Shenzhen Qiuyang Technology Co., Ltd.</t>
  </si>
  <si>
    <t xml:space="preserve">7495422227080775968</t>
  </si>
  <si>
    <t xml:space="preserve">YOYOCS</t>
  </si>
  <si>
    <t xml:space="preserve">Shenzhen Kefeng Zhilian Technology Co., Ltd.</t>
  </si>
  <si>
    <t xml:space="preserve">7495722859228006814</t>
  </si>
  <si>
    <t xml:space="preserve">Erin Small Shop</t>
  </si>
  <si>
    <t xml:space="preserve">7494088627966346321</t>
  </si>
  <si>
    <t xml:space="preserve">Over the Shop</t>
  </si>
  <si>
    <t xml:space="preserve">7495994317181061589</t>
  </si>
  <si>
    <t xml:space="preserve">Guogeng Shop</t>
  </si>
  <si>
    <t xml:space="preserve">Shenzhen Guogeng Technology Co., Ltd.</t>
  </si>
  <si>
    <t xml:space="preserve">7495483146143566277</t>
  </si>
  <si>
    <t xml:space="preserve">Lebara UK</t>
  </si>
  <si>
    <t xml:space="preserve">lebara.mobile</t>
  </si>
  <si>
    <t xml:space="preserve">https://www.tiktok.com/@lebara.mobile</t>
  </si>
  <si>
    <t xml:space="preserve">2025-10-19</t>
  </si>
  <si>
    <t xml:space="preserve">7496311688446446510</t>
  </si>
  <si>
    <t xml:space="preserve">Living Wares</t>
  </si>
  <si>
    <t xml:space="preserve">OUBO TECHNOLOGY LTD</t>
  </si>
  <si>
    <t xml:space="preserve">curry04300</t>
  </si>
  <si>
    <t xml:space="preserve">https://www.tiktok.com/@curry04300</t>
  </si>
  <si>
    <t xml:space="preserve">2023-02-21</t>
  </si>
  <si>
    <t xml:space="preserve">7494925954177206469</t>
  </si>
  <si>
    <t xml:space="preserve">PixelHive UK</t>
  </si>
  <si>
    <t xml:space="preserve">Qujing Fengcai Technology Co Ltd</t>
  </si>
  <si>
    <t xml:space="preserve">Also £24.5K in Home Improvement ranking → combined ≈ £35.6K</t>
  </si>
  <si>
    <t xml:space="preserve">7496227861658634853</t>
  </si>
  <si>
    <t xml:space="preserve">CYBORIS SOUND</t>
  </si>
  <si>
    <t xml:space="preserve">Shenzhen Yougen Onion Technology Co Ltd</t>
  </si>
  <si>
    <t xml:space="preserve">7496107660142610817</t>
  </si>
  <si>
    <t xml:space="preserve">EverFlow AI Tech</t>
  </si>
  <si>
    <t xml:space="preserve">2026-08-03</t>
  </si>
  <si>
    <t xml:space="preserve">7494795508242548444</t>
  </si>
  <si>
    <t xml:space="preserve">Apex Case</t>
  </si>
  <si>
    <t xml:space="preserve">7494462348451743218</t>
  </si>
  <si>
    <t xml:space="preserve">Currys</t>
  </si>
  <si>
    <t xml:space="preserve">7494722318288848344</t>
  </si>
  <si>
    <t xml:space="preserve">Mavix Electronics UK</t>
  </si>
  <si>
    <t xml:space="preserve">7494498314484942589</t>
  </si>
  <si>
    <t xml:space="preserve">DazzaD</t>
  </si>
  <si>
    <t xml:space="preserve">2025-11-26</t>
  </si>
  <si>
    <t xml:space="preserve">7494264520903525445</t>
  </si>
  <si>
    <t xml:space="preserve">Sisi Digital</t>
  </si>
  <si>
    <t xml:space="preserve">8665427067224426213</t>
  </si>
  <si>
    <t xml:space="preserve">CaseCouture UK</t>
  </si>
  <si>
    <t xml:space="preserve">7494459006864426521</t>
  </si>
  <si>
    <t xml:space="preserve">Creative Camera Shop</t>
  </si>
  <si>
    <t xml:space="preserve">Shenzhen Weizhengte Technology Co., Ltd.</t>
  </si>
  <si>
    <t xml:space="preserve">7495159439650229121</t>
  </si>
  <si>
    <t xml:space="preserve">Norwood</t>
  </si>
  <si>
    <t xml:space="preserve">7494684731145750023</t>
  </si>
  <si>
    <t xml:space="preserve">Qwick Fit</t>
  </si>
  <si>
    <t xml:space="preserve">QWICK FIT LTD</t>
  </si>
  <si>
    <t xml:space="preserve">7495488887217621231</t>
  </si>
  <si>
    <t xml:space="preserve">Moda In Pelle London</t>
  </si>
  <si>
    <t xml:space="preserve">7494524723837831165</t>
  </si>
  <si>
    <t xml:space="preserve">HAFF Shoes</t>
  </si>
  <si>
    <t xml:space="preserve">7494358240282838028</t>
  </si>
  <si>
    <t xml:space="preserve">My Fashion Tribe</t>
  </si>
  <si>
    <t xml:space="preserve">Taizhou Zhiyi Trading Co., Ltd.</t>
  </si>
  <si>
    <t xml:space="preserve">7495292763409713585</t>
  </si>
  <si>
    <t xml:space="preserve">Wenling Zeguo Wanchi</t>
  </si>
  <si>
    <t xml:space="preserve">Wenling Zeguo Wanchi Electronic Commerce Business Firm</t>
  </si>
  <si>
    <t xml:space="preserve">7495716921530157347</t>
  </si>
  <si>
    <t xml:space="preserve">COCUO</t>
  </si>
  <si>
    <t xml:space="preserve">Shangqiu City, Suiyang District, Dongnitu general merchandise retail store (individual industrial an</t>
  </si>
  <si>
    <t xml:space="preserve">7496093227618437494</t>
  </si>
  <si>
    <t xml:space="preserve">Panthera Step</t>
  </si>
  <si>
    <t xml:space="preserve">8654111460240688213</t>
  </si>
  <si>
    <t xml:space="preserve">Suolant</t>
  </si>
  <si>
    <t xml:space="preserve">8672669092105455100</t>
  </si>
  <si>
    <t xml:space="preserve">BVARKW</t>
  </si>
  <si>
    <t xml:space="preserve">7494606863242397080</t>
  </si>
  <si>
    <t xml:space="preserve">HEYDUDE UK</t>
  </si>
  <si>
    <t xml:space="preserve">Pattern Trading Ltd</t>
  </si>
  <si>
    <t xml:space="preserve">heydude.uk</t>
  </si>
  <si>
    <t xml:space="preserve">https://www.tiktok.com/@heydude.uk</t>
  </si>
  <si>
    <t xml:space="preserve">2025-04-03</t>
  </si>
  <si>
    <t xml:space="preserve">7496070219265903185</t>
  </si>
  <si>
    <t xml:space="preserve">SafeStride UK</t>
  </si>
  <si>
    <t xml:space="preserve">7494815793923786033</t>
  </si>
  <si>
    <t xml:space="preserve">Laifax</t>
  </si>
  <si>
    <t xml:space="preserve">Sanmen County Laifa Clothing Trading Firm (individual industrial and commercial households)</t>
  </si>
  <si>
    <t xml:space="preserve">7495836716222941967</t>
  </si>
  <si>
    <t xml:space="preserve">Bluebelleuk</t>
  </si>
  <si>
    <t xml:space="preserve">7494964452425501101</t>
  </si>
  <si>
    <t xml:space="preserve">DIAStudios</t>
  </si>
  <si>
    <t xml:space="preserve">HAYES PERRELLA LTD</t>
  </si>
  <si>
    <t xml:space="preserve">dia.studios</t>
  </si>
  <si>
    <t xml:space="preserve">https://www.tiktok.com/@dia.studios</t>
  </si>
  <si>
    <t xml:space="preserve">2024-12-31</t>
  </si>
  <si>
    <t xml:space="preserve">7494811175526566393</t>
  </si>
  <si>
    <t xml:space="preserve">JAJSJDKFLSFSAF</t>
  </si>
  <si>
    <t xml:space="preserve">7494248709719164722</t>
  </si>
  <si>
    <t xml:space="preserve">Bargain Shoe Warehouse</t>
  </si>
  <si>
    <t xml:space="preserve">Bargain Footwear Ltd</t>
  </si>
  <si>
    <t xml:space="preserve">7495453334930754042</t>
  </si>
  <si>
    <t xml:space="preserve">Chic Design Flashes</t>
  </si>
  <si>
    <t xml:space="preserve">Haikou Longhua Lu Yi Yi Hong Footwear Co., Ltd. (individual industrial and commercial)</t>
  </si>
  <si>
    <t xml:space="preserve">7496027867506378869</t>
  </si>
  <si>
    <t xml:space="preserve">Nahae Shoes</t>
  </si>
  <si>
    <t xml:space="preserve">Wenling Daxi Zidai Trading Firm (Individual Industrial and Commercial)</t>
  </si>
  <si>
    <t xml:space="preserve">7496157199025015714</t>
  </si>
  <si>
    <t xml:space="preserve">Swift Fit Shoes</t>
  </si>
  <si>
    <t xml:space="preserve">Xiyun Shoe and Hat Store, Suiyang District, Shangqiu City</t>
  </si>
  <si>
    <t xml:space="preserve">7495903749404199640</t>
  </si>
  <si>
    <t xml:space="preserve">Arisic Store</t>
  </si>
  <si>
    <t xml:space="preserve">Xiamen Qiyufei Electronic Commerce Co Ltd</t>
  </si>
  <si>
    <t xml:space="preserve">7496131274466036242</t>
  </si>
  <si>
    <t xml:space="preserve">Boux Avenue</t>
  </si>
  <si>
    <t xml:space="preserve">BOUX AVENUE LIMITED</t>
  </si>
  <si>
    <t xml:space="preserve">7494954743913876241</t>
  </si>
  <si>
    <t xml:space="preserve">YAMEPP</t>
  </si>
  <si>
    <t xml:space="preserve">Jinjiang City, Chendai Town, Minshi Shoe Factory</t>
  </si>
  <si>
    <t xml:space="preserve">7495181233591782367</t>
  </si>
  <si>
    <t xml:space="preserve">On feet&amp; in love</t>
  </si>
  <si>
    <t xml:space="preserve">Huidong County Dalin Shifa Shoe Factory</t>
  </si>
  <si>
    <t xml:space="preserve">7495986210517781362</t>
  </si>
  <si>
    <t xml:space="preserve">SARAHGIG SHOP</t>
  </si>
  <si>
    <t xml:space="preserve">7494851724060165953</t>
  </si>
  <si>
    <t xml:space="preserve">4FEETSHOES</t>
  </si>
  <si>
    <t xml:space="preserve">4FEET RETAIL LTD</t>
  </si>
  <si>
    <t xml:space="preserve">7494882116083878826</t>
  </si>
  <si>
    <t xml:space="preserve">CORE COLLECTION</t>
  </si>
  <si>
    <t xml:space="preserve">CORE SHOES LTD</t>
  </si>
  <si>
    <t xml:space="preserve">7495341751555164763</t>
  </si>
  <si>
    <t xml:space="preserve">StarMall</t>
  </si>
  <si>
    <t xml:space="preserve">7494665594612122881</t>
  </si>
  <si>
    <t xml:space="preserve">Boqisen Swimsuit</t>
  </si>
  <si>
    <t xml:space="preserve">Xingcheng Boqisen Apparel Co., Ltd.</t>
  </si>
  <si>
    <t xml:space="preserve">7495297535032134007</t>
  </si>
  <si>
    <t xml:space="preserve">CheerCity</t>
  </si>
  <si>
    <t xml:space="preserve">Also ranked £46.0K in Shoes (Sep) → above band</t>
  </si>
  <si>
    <t xml:space="preserve">7494792390597510618</t>
  </si>
  <si>
    <t xml:space="preserve">Kk sports manchester</t>
  </si>
  <si>
    <t xml:space="preserve">7495149385393802103</t>
  </si>
  <si>
    <t xml:space="preserve">EGO FASHION</t>
  </si>
  <si>
    <t xml:space="preserve">Virtual Superwoman Limited</t>
  </si>
  <si>
    <t xml:space="preserve">7495694615892363469</t>
  </si>
  <si>
    <t xml:space="preserve">boohoo</t>
  </si>
  <si>
    <t xml:space="preserve">boohoo.com UK Limited</t>
  </si>
  <si>
    <t xml:space="preserve">7494234543579236697</t>
  </si>
  <si>
    <t xml:space="preserve">Puresport</t>
  </si>
  <si>
    <t xml:space="preserve">PURE SPORT OIL LIMITED</t>
  </si>
  <si>
    <t xml:space="preserve">Also £14.9K in Health ranking → combined ≈ £43.8K</t>
  </si>
  <si>
    <t xml:space="preserve">puresport</t>
  </si>
  <si>
    <t xml:space="preserve">https://www.tiktok.com/@puresport</t>
  </si>
  <si>
    <t xml:space="preserve">7495198804733561750</t>
  </si>
  <si>
    <t xml:space="preserve">Agilithor treadmill</t>
  </si>
  <si>
    <t xml:space="preserve">agilithor</t>
  </si>
  <si>
    <t xml:space="preserve">https://www.tiktok.com/@agilithor</t>
  </si>
  <si>
    <t xml:space="preserve">2024-08-22</t>
  </si>
  <si>
    <t xml:space="preserve">7495866447872100366</t>
  </si>
  <si>
    <t xml:space="preserve">FLYBIRD Sports.UK</t>
  </si>
  <si>
    <t xml:space="preserve">Yiwu Juhe Trading Co., Ltd</t>
  </si>
  <si>
    <t xml:space="preserve">8647433486191139282</t>
  </si>
  <si>
    <t xml:space="preserve">Hsia.bra</t>
  </si>
  <si>
    <t xml:space="preserve">Seeding Co.,Limited</t>
  </si>
  <si>
    <t xml:space="preserve">7496106810635815737</t>
  </si>
  <si>
    <t xml:space="preserve">Mario Fashion Outlet</t>
  </si>
  <si>
    <t xml:space="preserve">D3G GROUP LIMITED</t>
  </si>
  <si>
    <t xml:space="preserve">7495092519267109053</t>
  </si>
  <si>
    <t xml:space="preserve">Luxe Comfy</t>
  </si>
  <si>
    <t xml:space="preserve">8653454358714090642</t>
  </si>
  <si>
    <t xml:space="preserve">Net World Sports</t>
  </si>
  <si>
    <t xml:space="preserve">NET WORLD SPORTS LIMITED</t>
  </si>
  <si>
    <t xml:space="preserve">7494963105977895814</t>
  </si>
  <si>
    <t xml:space="preserve">Yooknown</t>
  </si>
  <si>
    <t xml:space="preserve">Zhongshan Youyou Apparel Co., Ltd.</t>
  </si>
  <si>
    <t xml:space="preserve">7495871685846928356</t>
  </si>
  <si>
    <t xml:space="preserve">RUFF SPORTS</t>
  </si>
  <si>
    <t xml:space="preserve">7495201772452546796</t>
  </si>
  <si>
    <t xml:space="preserve">Nyxalulu</t>
  </si>
  <si>
    <t xml:space="preserve">7494379491680683963</t>
  </si>
  <si>
    <t xml:space="preserve">HE WEAR</t>
  </si>
  <si>
    <t xml:space="preserve">8647562305771313411</t>
  </si>
  <si>
    <t xml:space="preserve">Edikted UK</t>
  </si>
  <si>
    <t xml:space="preserve">7496311512769857621</t>
  </si>
  <si>
    <t xml:space="preserve">Turner Equestrian</t>
  </si>
  <si>
    <t xml:space="preserve">Turner Stores Ltd</t>
  </si>
  <si>
    <t xml:space="preserve">7495590484307577351</t>
  </si>
  <si>
    <t xml:space="preserve">Calorie Club</t>
  </si>
  <si>
    <t xml:space="preserve">Biyang County Getu general merchandise retail operation department (individual industrial and commer</t>
  </si>
  <si>
    <t xml:space="preserve">7496004227286535107</t>
  </si>
  <si>
    <t xml:space="preserve">STRYQ</t>
  </si>
  <si>
    <t xml:space="preserve">STRYQ ltd</t>
  </si>
  <si>
    <t xml:space="preserve">teamstryq</t>
  </si>
  <si>
    <t xml:space="preserve">https://www.tiktok.com/@teamstryq</t>
  </si>
  <si>
    <t xml:space="preserve">2025-08-23</t>
  </si>
  <si>
    <t xml:space="preserve">7496309547045522038</t>
  </si>
  <si>
    <t xml:space="preserve">FeelinGirl-UK</t>
  </si>
  <si>
    <t xml:space="preserve">HEXIN GROUP UK LTD</t>
  </si>
  <si>
    <t xml:space="preserve">7496062822962858701</t>
  </si>
  <si>
    <t xml:space="preserve">AxisFurn Living</t>
  </si>
  <si>
    <t xml:space="preserve">ALBION HOME &amp; LIFESTYLE LTD</t>
  </si>
  <si>
    <t xml:space="preserve">7495922467788130690</t>
  </si>
  <si>
    <t xml:space="preserve">NAAVSLTD</t>
  </si>
  <si>
    <t xml:space="preserve">NAAVS LIMITED</t>
  </si>
  <si>
    <t xml:space="preserve">7495844545968113908</t>
  </si>
  <si>
    <t xml:space="preserve">MOONBAY</t>
  </si>
  <si>
    <t xml:space="preserve">7495398911595416385</t>
  </si>
  <si>
    <t xml:space="preserve">Bargainexpress</t>
  </si>
  <si>
    <t xml:space="preserve">7495181423802288529</t>
  </si>
  <si>
    <t xml:space="preserve">MILL PRICE ONLINE</t>
  </si>
  <si>
    <t xml:space="preserve">HADI SHEHZAD</t>
  </si>
  <si>
    <t xml:space="preserve">7496067790665714295</t>
  </si>
  <si>
    <t xml:space="preserve">Pamposh</t>
  </si>
  <si>
    <t xml:space="preserve">Montone Limited</t>
  </si>
  <si>
    <t xml:space="preserve">7495877643746379811</t>
  </si>
  <si>
    <t xml:space="preserve">Warm Bedding Home</t>
  </si>
  <si>
    <t xml:space="preserve">Yiwu Honghong Technology Co.</t>
  </si>
  <si>
    <t xml:space="preserve">7495846544751692067</t>
  </si>
  <si>
    <t xml:space="preserve">SOOEYE</t>
  </si>
  <si>
    <t xml:space="preserve">Yiwu Xianghe Home Products Co., Ltd.</t>
  </si>
  <si>
    <t xml:space="preserve">7495162054521162549</t>
  </si>
  <si>
    <t xml:space="preserve">Twirest mattress</t>
  </si>
  <si>
    <t xml:space="preserve">7496043272283130552</t>
  </si>
  <si>
    <t xml:space="preserve">Hush Homes</t>
  </si>
  <si>
    <t xml:space="preserve">Almaan Collection Ltd</t>
  </si>
  <si>
    <t xml:space="preserve">7496164474693585207</t>
  </si>
  <si>
    <t xml:space="preserve">Wear &amp; Snug,</t>
  </si>
  <si>
    <t xml:space="preserve">AA Homewares</t>
  </si>
  <si>
    <t xml:space="preserve">7495154140628486260</t>
  </si>
  <si>
    <t xml:space="preserve">TELALINA</t>
  </si>
  <si>
    <t xml:space="preserve">7494366025145943296</t>
  </si>
  <si>
    <t xml:space="preserve">Value comfort home</t>
  </si>
  <si>
    <t xml:space="preserve">A H Z INVESTMENTS LTD</t>
  </si>
  <si>
    <t xml:space="preserve">7496054259968739713</t>
  </si>
  <si>
    <t xml:space="preserve">Dreamy Beddings</t>
  </si>
  <si>
    <t xml:space="preserve">8662299539872515532</t>
  </si>
  <si>
    <t xml:space="preserve">Jeffanss</t>
  </si>
  <si>
    <t xml:space="preserve">7494742485067073140</t>
  </si>
  <si>
    <t xml:space="preserve">Gentle Night</t>
  </si>
  <si>
    <t xml:space="preserve">8662838473639756912</t>
  </si>
  <si>
    <t xml:space="preserve">SoftLift</t>
  </si>
  <si>
    <t xml:space="preserve">SOFTLIFT LTD</t>
  </si>
  <si>
    <t xml:space="preserve">7496239163221838458</t>
  </si>
  <si>
    <t xml:space="preserve">Lazzaro Bedding</t>
  </si>
  <si>
    <t xml:space="preserve">BESTOUCH COMMERCE LIMITED</t>
  </si>
  <si>
    <t xml:space="preserve">grace_bedding</t>
  </si>
  <si>
    <t xml:space="preserve">https://www.tiktok.com/@grace_bedding</t>
  </si>
  <si>
    <t xml:space="preserve">2025-03-07</t>
  </si>
  <si>
    <t xml:space="preserve">7495942914294909295</t>
  </si>
  <si>
    <t xml:space="preserve">nztextile</t>
  </si>
  <si>
    <t xml:space="preserve">7496089337905121910</t>
  </si>
  <si>
    <t xml:space="preserve">Hafaa</t>
  </si>
  <si>
    <t xml:space="preserve">HAVE LTD</t>
  </si>
  <si>
    <t xml:space="preserve">hafaauk</t>
  </si>
  <si>
    <t xml:space="preserve">https://www.tiktok.com/@hafaauk</t>
  </si>
  <si>
    <t xml:space="preserve">2024-11-04</t>
  </si>
  <si>
    <t xml:space="preserve">7495840208321415669</t>
  </si>
  <si>
    <t xml:space="preserve">Comfora</t>
  </si>
  <si>
    <t xml:space="preserve">7496110910852401832</t>
  </si>
  <si>
    <t xml:space="preserve">PlushyPure</t>
  </si>
  <si>
    <t xml:space="preserve">7494459648998802987</t>
  </si>
  <si>
    <t xml:space="preserve">ROOEE</t>
  </si>
  <si>
    <t xml:space="preserve">MILL PRICE ONLINE LIMITED</t>
  </si>
  <si>
    <t xml:space="preserve">rooee.offical</t>
  </si>
  <si>
    <t xml:space="preserve">https://www.tiktok.com/@rooee.offical</t>
  </si>
  <si>
    <t xml:space="preserve">7495338695284983874</t>
  </si>
  <si>
    <t xml:space="preserve">ParagonLinen</t>
  </si>
  <si>
    <t xml:space="preserve">PARAGON LINEN LIMITED</t>
  </si>
  <si>
    <t xml:space="preserve">7495294326832859592</t>
  </si>
  <si>
    <t xml:space="preserve">Ethereal Luxuries UK</t>
  </si>
  <si>
    <t xml:space="preserve">Ethereal Luxuries Ltd</t>
  </si>
  <si>
    <t xml:space="preserve">7495526034160781461</t>
  </si>
  <si>
    <t xml:space="preserve">Dreamfields</t>
  </si>
  <si>
    <t xml:space="preserve">Nantong Haolailan Textile Co., Ltd.</t>
  </si>
  <si>
    <t xml:space="preserve">7495999033007835275</t>
  </si>
  <si>
    <t xml:space="preserve">Mulberryhousewareltd</t>
  </si>
  <si>
    <t xml:space="preserve">7495431785592686828</t>
  </si>
  <si>
    <t xml:space="preserve">Easy 2 Cart</t>
  </si>
  <si>
    <t xml:space="preserve">FRIENDS TREND LTD</t>
  </si>
  <si>
    <t xml:space="preserve">7495910242547370608</t>
  </si>
  <si>
    <t xml:space="preserve">MH Home</t>
  </si>
  <si>
    <t xml:space="preserve">7496114875902692263</t>
  </si>
  <si>
    <t xml:space="preserve">Gallant Home Store</t>
  </si>
  <si>
    <t xml:space="preserve">7494562629420484509</t>
  </si>
  <si>
    <t xml:space="preserve">violet 522 SHOP</t>
  </si>
  <si>
    <t xml:space="preserve">EIO CONSULTANCY LTD</t>
  </si>
  <si>
    <t xml:space="preserve">7496140420427254722</t>
  </si>
  <si>
    <t xml:space="preserve">Performa Beds</t>
  </si>
  <si>
    <t xml:space="preserve">7494529506189740014</t>
  </si>
  <si>
    <t xml:space="preserve">VelocityProGear</t>
  </si>
  <si>
    <t xml:space="preserve">VELOCITY WORKWEAR LTD</t>
  </si>
  <si>
    <t xml:space="preserve">7495468360869906989</t>
  </si>
  <si>
    <t xml:space="preserve">Sopami Care</t>
  </si>
  <si>
    <t xml:space="preserve">2026-07-16</t>
  </si>
  <si>
    <t xml:space="preserve">7494742499224356179</t>
  </si>
  <si>
    <t xml:space="preserve">Vonhaus</t>
  </si>
  <si>
    <t xml:space="preserve">HOME BRANDS LIMITED</t>
  </si>
  <si>
    <t xml:space="preserve">Also £63.1K in Household Appliances ranking → well above band</t>
  </si>
  <si>
    <t xml:space="preserve">7494567052463147208</t>
  </si>
  <si>
    <t xml:space="preserve">ONEVAN Store</t>
  </si>
  <si>
    <t xml:space="preserve">7496305758593321822</t>
  </si>
  <si>
    <t xml:space="preserve">Utopia Kingdom</t>
  </si>
  <si>
    <t xml:space="preserve">CORNERKEEPER LTD</t>
  </si>
  <si>
    <t xml:space="preserve">Also £17.8K (Household) and £23.9K (Sports) → combined ≈ £65.7K</t>
  </si>
  <si>
    <t xml:space="preserve">7496150776700766284</t>
  </si>
  <si>
    <t xml:space="preserve">Auto Workshop</t>
  </si>
  <si>
    <t xml:space="preserve">7494255254937830723</t>
  </si>
  <si>
    <t xml:space="preserve">ATuMan Tool</t>
  </si>
  <si>
    <t xml:space="preserve">7494113458679482344</t>
  </si>
  <si>
    <t xml:space="preserve">MV Tools</t>
  </si>
  <si>
    <t xml:space="preserve">MANN VALUE LTD</t>
  </si>
  <si>
    <t xml:space="preserve">mvalue_tools</t>
  </si>
  <si>
    <t xml:space="preserve">https://www.tiktok.com/@mvalue_tools</t>
  </si>
  <si>
    <t xml:space="preserve">2025-03-26</t>
  </si>
  <si>
    <t xml:space="preserve">7496123377579232168</t>
  </si>
  <si>
    <t xml:space="preserve">Dreibach</t>
  </si>
  <si>
    <t xml:space="preserve">DREIBACH LTD</t>
  </si>
  <si>
    <t xml:space="preserve">Also £10.7K (Household Appliances) and £23.3K (Luggage &amp; Bags) rankings → combined ≈ £55.1K</t>
  </si>
  <si>
    <t xml:space="preserve">7494909659372751142</t>
  </si>
  <si>
    <t xml:space="preserve">ADANUVOR</t>
  </si>
  <si>
    <t xml:space="preserve">7496128941490145485</t>
  </si>
  <si>
    <t xml:space="preserve">Eagle OfficeSupplies</t>
  </si>
  <si>
    <t xml:space="preserve">Guanlin Co., Ltd.</t>
  </si>
  <si>
    <t xml:space="preserve">7495828544380438604</t>
  </si>
  <si>
    <t xml:space="preserve">SuperHomee888</t>
  </si>
  <si>
    <t xml:space="preserve">ZHANGZHIFEI LTD</t>
  </si>
  <si>
    <t xml:space="preserve">2025-05-26</t>
  </si>
  <si>
    <t xml:space="preserve">7496153731837954256</t>
  </si>
  <si>
    <t xml:space="preserve">STRAAME</t>
  </si>
  <si>
    <t xml:space="preserve">GGN INTL LTD</t>
  </si>
  <si>
    <t xml:space="preserve">Ranked £55.4K in Home Improvement (Sep) → above band</t>
  </si>
  <si>
    <t xml:space="preserve">7494981884491762531</t>
  </si>
  <si>
    <t xml:space="preserve">ApexFix UK</t>
  </si>
  <si>
    <t xml:space="preserve">7494203609095702332</t>
  </si>
  <si>
    <t xml:space="preserve">Bycchoice</t>
  </si>
  <si>
    <t xml:space="preserve">SHINNING LOO LIMITED</t>
  </si>
  <si>
    <t xml:space="preserve">7496291766856289036</t>
  </si>
  <si>
    <t xml:space="preserve">Zaastoree</t>
  </si>
  <si>
    <t xml:space="preserve">7494793785519802147</t>
  </si>
  <si>
    <t xml:space="preserve">Denny Shop UK</t>
  </si>
  <si>
    <t xml:space="preserve">Denny Enterprises Int'l Ltd</t>
  </si>
  <si>
    <t xml:space="preserve">Seen in 5 category rankings (Toys, Tools, Furniture, Baby, Home Improvement) → combined ≈ £120K</t>
  </si>
  <si>
    <t xml:space="preserve">7494637938115578408</t>
  </si>
  <si>
    <t xml:space="preserve">chic sen</t>
  </si>
  <si>
    <t xml:space="preserve">Guangzhou Sheng'en Electronic Commerce Co., Ltd.</t>
  </si>
  <si>
    <t xml:space="preserve">7496012353877740263</t>
  </si>
  <si>
    <t xml:space="preserve">Yibaobao Toys</t>
  </si>
  <si>
    <t xml:space="preserve">Shantou Yiyuan Toys Co., Ltd.</t>
  </si>
  <si>
    <t xml:space="preserve">7495548895775525000</t>
  </si>
  <si>
    <t xml:space="preserve">The Fantastic Factory</t>
  </si>
  <si>
    <t xml:space="preserve">The Fantastic Factory LTD</t>
  </si>
  <si>
    <t xml:space="preserve">fantasticfactoryshop</t>
  </si>
  <si>
    <t xml:space="preserve">https://www.tiktok.com/@fantasticfactoryshop</t>
  </si>
  <si>
    <t xml:space="preserve">2024-09-23</t>
  </si>
  <si>
    <t xml:space="preserve">7495881664347671260</t>
  </si>
  <si>
    <t xml:space="preserve">Funky Fidgets Shop LTD</t>
  </si>
  <si>
    <t xml:space="preserve">Funky fidgets shop LTD</t>
  </si>
  <si>
    <t xml:space="preserve">funkyfidgetsshop</t>
  </si>
  <si>
    <t xml:space="preserve">https://www.tiktok.com/@funkyfidgetsshop</t>
  </si>
  <si>
    <t xml:space="preserve">2022-12-20</t>
  </si>
  <si>
    <t xml:space="preserve">7494730332085848630</t>
  </si>
  <si>
    <t xml:space="preserve">Feature Rich Gadgets</t>
  </si>
  <si>
    <t xml:space="preserve">7494566157015942962</t>
  </si>
  <si>
    <t xml:space="preserve">FlyBuz Toys</t>
  </si>
  <si>
    <t xml:space="preserve">8652203512766760303</t>
  </si>
  <si>
    <t xml:space="preserve">Across the sea Shop</t>
  </si>
  <si>
    <t xml:space="preserve">klementin socks</t>
  </si>
  <si>
    <t xml:space="preserve">7496201753638897723</t>
  </si>
  <si>
    <t xml:space="preserve">Gigilli</t>
  </si>
  <si>
    <t xml:space="preserve">Yiwu Junyang Electronic Commerce Co Ltd</t>
  </si>
  <si>
    <t xml:space="preserve">7496133559496116405</t>
  </si>
  <si>
    <t xml:space="preserve">Locked UK</t>
  </si>
  <si>
    <t xml:space="preserve">Locked Shop UK LTD</t>
  </si>
  <si>
    <t xml:space="preserve">7495950884497754362</t>
  </si>
  <si>
    <t xml:space="preserve">VIP TOYS Shop</t>
  </si>
  <si>
    <t xml:space="preserve">Guangzhou Qianxin Electronic Commerce Co., Ltd.</t>
  </si>
  <si>
    <t xml:space="preserve">7495153634095696858</t>
  </si>
  <si>
    <t xml:space="preserve">pixiepulse</t>
  </si>
  <si>
    <t xml:space="preserve">2026-08-22</t>
  </si>
  <si>
    <t xml:space="preserve">7494806868702692651</t>
  </si>
  <si>
    <t xml:space="preserve">Sitong Toys</t>
  </si>
  <si>
    <t xml:space="preserve">Chaozhou Sitong Toy Industrial Co., Ltd.</t>
  </si>
  <si>
    <t xml:space="preserve">7495179922729175213</t>
  </si>
  <si>
    <t xml:space="preserve">theukchristmascompany</t>
  </si>
  <si>
    <t xml:space="preserve">7495950959260895801</t>
  </si>
  <si>
    <t xml:space="preserve">Oriental Denim Mart</t>
  </si>
  <si>
    <t xml:space="preserve">7494527624038679867</t>
  </si>
  <si>
    <t xml:space="preserve">Cheeky Wipes &amp; Cheeky Pants</t>
  </si>
  <si>
    <t xml:space="preserve">CHEEKY BABY PRODUCTS LIMITED</t>
  </si>
  <si>
    <t xml:space="preserve">cheekywipes</t>
  </si>
  <si>
    <t xml:space="preserve">https://www.tiktok.com/@cheekywipes</t>
  </si>
  <si>
    <t xml:space="preserve">2022-11-26</t>
  </si>
  <si>
    <t xml:space="preserve">7494664943890172610</t>
  </si>
  <si>
    <t xml:space="preserve">Fenrrichic</t>
  </si>
  <si>
    <t xml:space="preserve">Guangzhou Fengsheng Fushi Co., Ltd.</t>
  </si>
  <si>
    <t xml:space="preserve">7495969791312627738</t>
  </si>
  <si>
    <t xml:space="preserve">Clothes HouseE</t>
  </si>
  <si>
    <t xml:space="preserve">7494097248011256895</t>
  </si>
  <si>
    <t xml:space="preserve">Mist House Fashion</t>
  </si>
  <si>
    <t xml:space="preserve">Mist House ltd</t>
  </si>
  <si>
    <t xml:space="preserve">misthousefashion</t>
  </si>
  <si>
    <t xml:space="preserve">https://www.tiktok.com/@misthousefashion</t>
  </si>
  <si>
    <t xml:space="preserve">2024-10-21</t>
  </si>
  <si>
    <t xml:space="preserve">7495565965938428785</t>
  </si>
  <si>
    <t xml:space="preserve">Bye Jeans</t>
  </si>
  <si>
    <t xml:space="preserve">Dongguan Zhongtang Beiyita Garment Factory</t>
  </si>
  <si>
    <t xml:space="preserve">7496093964231412406</t>
  </si>
  <si>
    <t xml:space="preserve">VARE Studio</t>
  </si>
  <si>
    <t xml:space="preserve">Tianmen Jingyue Apparel Store (Individual Industrial and Commercial)</t>
  </si>
  <si>
    <t xml:space="preserve">7496025534277716340</t>
  </si>
  <si>
    <t xml:space="preserve">StreetWeat Outfits</t>
  </si>
  <si>
    <t xml:space="preserve">Guangzhou Mania Trading Co., Ltd.</t>
  </si>
  <si>
    <t xml:space="preserve">7495778269548808779</t>
  </si>
  <si>
    <t xml:space="preserve">Sunshine Grove</t>
  </si>
  <si>
    <t xml:space="preserve">Xiantao Yuqi Trading Co., Ltd.</t>
  </si>
  <si>
    <t xml:space="preserve">7495993460820445456</t>
  </si>
  <si>
    <t xml:space="preserve">Dragons Kaoru</t>
  </si>
  <si>
    <t xml:space="preserve">Shenzhen Bao'an District Fuyong Longxin Apparel Trading Firm</t>
  </si>
  <si>
    <t xml:space="preserve">7495159899355514953</t>
  </si>
  <si>
    <t xml:space="preserve">AIRA-Fashion</t>
  </si>
  <si>
    <t xml:space="preserve">TN CLOTHING UK LTD</t>
  </si>
  <si>
    <t xml:space="preserve">7496071205190338948</t>
  </si>
  <si>
    <t xml:space="preserve">Magic Shaper</t>
  </si>
  <si>
    <t xml:space="preserve">8647459851167242365</t>
  </si>
  <si>
    <t xml:space="preserve">Deep Blue Feng</t>
  </si>
  <si>
    <t xml:space="preserve">Shenzhen Shenlanfeng Technology Co., Ltd.</t>
  </si>
  <si>
    <t xml:space="preserve">7495506199092365939</t>
  </si>
  <si>
    <t xml:space="preserve">Chic Code NVFelix</t>
  </si>
  <si>
    <t xml:space="preserve">8666858531393340648</t>
  </si>
  <si>
    <t xml:space="preserve">AloiiaOnline</t>
  </si>
  <si>
    <t xml:space="preserve">Guangzhou Shangxin Keqi Clothing Trading Firm (Sole Proprietorship)</t>
  </si>
  <si>
    <t xml:space="preserve">7495878679951214774</t>
  </si>
  <si>
    <t xml:space="preserve">URBANECHIC Sweater</t>
  </si>
  <si>
    <t xml:space="preserve">Shantou Jiahua Trading Co., Ltd.</t>
  </si>
  <si>
    <t xml:space="preserve">7495782621167258447</t>
  </si>
  <si>
    <t xml:space="preserve">Retro Pinnacle</t>
  </si>
  <si>
    <t xml:space="preserve">7494669128119977090</t>
  </si>
  <si>
    <t xml:space="preserve">CAFFARIA PJ</t>
  </si>
  <si>
    <t xml:space="preserve">8652202885246977248</t>
  </si>
  <si>
    <t xml:space="preserve">Ele anor</t>
  </si>
  <si>
    <t xml:space="preserve">2026-08-21</t>
  </si>
  <si>
    <t xml:space="preserve">8652206151457015297</t>
  </si>
  <si>
    <t xml:space="preserve">XZPUZ WOMEN CLOTHING ONLINE BO</t>
  </si>
  <si>
    <t xml:space="preserve">Wenzhou Ya Clothing Clothing Co., Ltd.</t>
  </si>
  <si>
    <t xml:space="preserve">7495159620609411463</t>
  </si>
  <si>
    <t xml:space="preserve">Category</t>
  </si>
  <si>
    <t xml:space="preserve">Leads found</t>
  </si>
  <si>
    <t xml:space="preserve">High confidence</t>
  </si>
  <si>
    <t xml:space="preserve">With TikTok profile data</t>
  </si>
  <si>
    <t xml:space="preserve">Avg Sep GMV in category (£)</t>
  </si>
  <si>
    <t xml:space="preserve">Rows searched (ranking page)</t>
  </si>
  <si>
    <t xml:space="preserve">p4–p6</t>
  </si>
  <si>
    <t xml:space="preserve">p3–p5</t>
  </si>
  <si>
    <t xml:space="preserve">p29–p31 (+p50 units-sorted)</t>
  </si>
  <si>
    <t xml:space="preserve">p5–p7</t>
  </si>
  <si>
    <t xml:space="preserve">p2–p4</t>
  </si>
  <si>
    <t xml:space="preserve">p7–p9</t>
  </si>
  <si>
    <t xml:space="preserve">p10–p12</t>
  </si>
  <si>
    <t xml:space="preserve">p6–p8 (p2 above, p15 below band)</t>
  </si>
  <si>
    <t xml:space="preserve">p11–p13</t>
  </si>
  <si>
    <t xml:space="preserve">p15–p17 (+p50 units-sorted)</t>
  </si>
  <si>
    <t xml:space="preserve">p9–p11</t>
  </si>
  <si>
    <t xml:space="preserve">p4–p5 (p6 already below £10K)</t>
  </si>
  <si>
    <t xml:space="preserve">p12, p14, p15</t>
  </si>
  <si>
    <t xml:space="preserve">p6–p8</t>
  </si>
  <si>
    <t xml:space="preserve">p3–p4</t>
  </si>
  <si>
    <t xml:space="preserve">p6–p7</t>
  </si>
  <si>
    <t xml:space="preserve">p27, p30 (+p50 units-sorted); band runs to p50+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</si>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</sst>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£#,##0"/>
    <numFmt numFmtId="166" formatCode="#,##0"/>
    <numFmt numFmtId="167" formatCode="0.0%"/>
    <numFmt numFmtId="168" formatCode="\£0.00"/>
    <numFmt numFmtId="169" formatCode="\£#,##0.00"/>
    <numFmt numFmtId="170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UKLeads" displayName="UKLeads" ref="A1:AI645" headerRowCount="1" totalsRowCount="0" totalsRowShown="0">
  <autoFilter ref="A1:AI645"/>
  <tableColumns count="35">
    <tableColumn id="1" name="Category (ranked in)"/>
    <tableColumn id="2" name="Shop name"/>
    <tableColumn id="3" name="Company / legal name"/>
    <tableColumn id="4" name="Main category"/>
    <tableColumn id="5" name="Shop type"/>
    <tableColumn id="6" name="Sep-26 GMV in category (£)"/>
    <tableColumn id="7" name="Units sold"/>
    <tableColumn id="8" name="GMV MoM growth"/>
    <tableColumn id="9" name="Units MoM growth"/>
    <tableColumn id="10" name="Affiliate creators (Sep)"/>
    <tableColumn id="11" name="Products with sales"/>
    <tableColumn id="12" name="Active products"/>
    <tableColumn id="13" name="Shop rating"/>
    <tableColumn id="14" name="Band confidence"/>
    <tableColumn id="15" name="Notes"/>
    <tableColumn id="16" name="TikTok handle"/>
    <tableColumn id="17" name="TikTok profile URL"/>
    <tableColumn id="18" name="TikTok followers"/>
    <tableColumn id="19" name="TikTok videos"/>
    <tableColumn id="20" name="Shop created"/>
    <tableColumn id="21" name="All-time GMV (£)"/>
    <tableColumn id="22" name="All-time units"/>
    <tableColumn id="23" name="Total products listed"/>
    <tableColumn id="24" name="All-time affiliate creators"/>
    <tableColumn id="25" name="All-time videos"/>
    <tableColumn id="26" name="All-time lives"/>
    <tableColumn id="27" name="Min price (£)"/>
    <tableColumn id="28" name="Max price (£)"/>
    <tableColumn id="29" name="Avg price (£)"/>
    <tableColumn id="30" name="Delivery rate"/>
    <tableColumn id="31" name="Positive feedback"/>
    <tableColumn id="32" name="Response rate"/>
    <tableColumn id="33" name="Category rank (Sep)"/>
    <tableColumn id="34" name="UK overall rank (Sep)"/>
    <tableColumn id="35" name="Seller I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tiktok.com/@zmgh49shop" TargetMode="External"/><Relationship Id="rId2" Type="http://schemas.openxmlformats.org/officeDocument/2006/relationships/hyperlink" Target="https://www.tiktok.com/@sisuocor" TargetMode="External"/><Relationship Id="rId3" Type="http://schemas.openxmlformats.org/officeDocument/2006/relationships/hyperlink" Target="https://www.tiktok.com/@stephen30715" TargetMode="External"/><Relationship Id="rId4" Type="http://schemas.openxmlformats.org/officeDocument/2006/relationships/hyperlink" Target="https://www.tiktok.com/@wlwbrands" TargetMode="External"/><Relationship Id="rId5" Type="http://schemas.openxmlformats.org/officeDocument/2006/relationships/hyperlink" Target="https://www.tiktok.com/@booboobabyproducts.com" TargetMode="External"/><Relationship Id="rId6" Type="http://schemas.openxmlformats.org/officeDocument/2006/relationships/hyperlink" Target="https://www.tiktok.com/@ladidatoystore" TargetMode="External"/><Relationship Id="rId7" Type="http://schemas.openxmlformats.org/officeDocument/2006/relationships/hyperlink" Target="https://www.tiktok.com/@my_expertmidwife" TargetMode="External"/><Relationship Id="rId8" Type="http://schemas.openxmlformats.org/officeDocument/2006/relationships/hyperlink" Target="https://www.tiktok.com/@myfirststyle" TargetMode="External"/><Relationship Id="rId9" Type="http://schemas.openxmlformats.org/officeDocument/2006/relationships/hyperlink" Target="https://www.tiktok.com/@mbd_clothing" TargetMode="External"/><Relationship Id="rId10" Type="http://schemas.openxmlformats.org/officeDocument/2006/relationships/hyperlink" Target="https://www.tiktok.com/@sculptedbyaimeestore" TargetMode="External"/><Relationship Id="rId11" Type="http://schemas.openxmlformats.org/officeDocument/2006/relationships/hyperlink" Target="https://www.tiktok.com/@poppys332" TargetMode="External"/><Relationship Id="rId12" Type="http://schemas.openxmlformats.org/officeDocument/2006/relationships/hyperlink" Target="https://www.tiktok.com/@houseofamoruk" TargetMode="External"/><Relationship Id="rId13" Type="http://schemas.openxmlformats.org/officeDocument/2006/relationships/hyperlink" Target="https://www.tiktok.com/@calmhavenbeauty" TargetMode="External"/><Relationship Id="rId14" Type="http://schemas.openxmlformats.org/officeDocument/2006/relationships/hyperlink" Target="https://www.tiktok.com/@acehitstcg" TargetMode="External"/><Relationship Id="rId15" Type="http://schemas.openxmlformats.org/officeDocument/2006/relationships/hyperlink" Target="https://www.tiktok.com/@wiggyscollectables" TargetMode="External"/><Relationship Id="rId16" Type="http://schemas.openxmlformats.org/officeDocument/2006/relationships/hyperlink" Target="https://www.tiktok.com/@thepokeattic" TargetMode="External"/><Relationship Id="rId17" Type="http://schemas.openxmlformats.org/officeDocument/2006/relationships/hyperlink" Target="https://www.tiktok.com/@eclipse_gaming_ltd" TargetMode="External"/><Relationship Id="rId18" Type="http://schemas.openxmlformats.org/officeDocument/2006/relationships/hyperlink" Target="https://www.tiktok.com/@rosexpress_delivery_serv" TargetMode="External"/><Relationship Id="rId19" Type="http://schemas.openxmlformats.org/officeDocument/2006/relationships/hyperlink" Target="https://www.tiktok.com/@prettyperfectproducts" TargetMode="External"/><Relationship Id="rId20" Type="http://schemas.openxmlformats.org/officeDocument/2006/relationships/hyperlink" Target="https://www.tiktok.com/@danilocalendarsuk" TargetMode="External"/><Relationship Id="rId21" Type="http://schemas.openxmlformats.org/officeDocument/2006/relationships/hyperlink" Target="https://www.tiktok.com/@milacolato_official" TargetMode="External"/><Relationship Id="rId22" Type="http://schemas.openxmlformats.org/officeDocument/2006/relationships/hyperlink" Target="https://www.tiktok.com/@bozlun_official" TargetMode="External"/><Relationship Id="rId23" Type="http://schemas.openxmlformats.org/officeDocument/2006/relationships/hyperlink" Target="https://www.tiktok.com/@blinghairfactorystore_" TargetMode="External"/><Relationship Id="rId24" Type="http://schemas.openxmlformats.org/officeDocument/2006/relationships/hyperlink" Target="https://www.tiktok.com/@taste_flavorco_uk" TargetMode="External"/><Relationship Id="rId25" Type="http://schemas.openxmlformats.org/officeDocument/2006/relationships/hyperlink" Target="https://www.tiktok.com/@pakwatandriedfruits" TargetMode="External"/><Relationship Id="rId26" Type="http://schemas.openxmlformats.org/officeDocument/2006/relationships/hyperlink" Target="https://www.tiktok.com/@bakhtar.market" TargetMode="External"/><Relationship Id="rId27" Type="http://schemas.openxmlformats.org/officeDocument/2006/relationships/hyperlink" Target="https://www.tiktok.com/@giantbradleys" TargetMode="External"/><Relationship Id="rId28" Type="http://schemas.openxmlformats.org/officeDocument/2006/relationships/hyperlink" Target="https://www.tiktok.com/@shadowquella" TargetMode="External"/><Relationship Id="rId29" Type="http://schemas.openxmlformats.org/officeDocument/2006/relationships/hyperlink" Target="https://www.tiktok.com/@readysteadybed.co.uk" TargetMode="External"/><Relationship Id="rId30" Type="http://schemas.openxmlformats.org/officeDocument/2006/relationships/hyperlink" Target="https://www.tiktok.com/@ancientextracts" TargetMode="External"/><Relationship Id="rId31" Type="http://schemas.openxmlformats.org/officeDocument/2006/relationships/hyperlink" Target="https://www.tiktok.com/@herkinduk" TargetMode="External"/><Relationship Id="rId32" Type="http://schemas.openxmlformats.org/officeDocument/2006/relationships/hyperlink" Target="https://www.tiktok.com/@mellowpatchesuk" TargetMode="External"/><Relationship Id="rId33" Type="http://schemas.openxmlformats.org/officeDocument/2006/relationships/hyperlink" Target="https://www.tiktok.com/@roundway.supplements" TargetMode="External"/><Relationship Id="rId34" Type="http://schemas.openxmlformats.org/officeDocument/2006/relationships/hyperlink" Target="https://www.tiktok.com/@rhealsuperfoods" TargetMode="External"/><Relationship Id="rId35" Type="http://schemas.openxmlformats.org/officeDocument/2006/relationships/hyperlink" Target="https://www.tiktok.com/@flowerpoweruk1" TargetMode="External"/><Relationship Id="rId36" Type="http://schemas.openxmlformats.org/officeDocument/2006/relationships/hyperlink" Target="https://www.tiktok.com/@kokomauk5" TargetMode="External"/><Relationship Id="rId37" Type="http://schemas.openxmlformats.org/officeDocument/2006/relationships/hyperlink" Target="https://www.tiktok.com/@jghjgmxq" TargetMode="External"/><Relationship Id="rId38" Type="http://schemas.openxmlformats.org/officeDocument/2006/relationships/hyperlink" Target="https://www.tiktok.com/@thclickmart" TargetMode="External"/><Relationship Id="rId39" Type="http://schemas.openxmlformats.org/officeDocument/2006/relationships/hyperlink" Target="https://www.tiktok.com/@dockandbay" TargetMode="External"/><Relationship Id="rId40" Type="http://schemas.openxmlformats.org/officeDocument/2006/relationships/hyperlink" Target="https://www.tiktok.com/@violetpap12" TargetMode="External"/><Relationship Id="rId41" Type="http://schemas.openxmlformats.org/officeDocument/2006/relationships/hyperlink" Target="https://www.tiktok.com/@thegifthouseuk" TargetMode="External"/><Relationship Id="rId42" Type="http://schemas.openxmlformats.org/officeDocument/2006/relationships/hyperlink" Target="https://www.tiktok.com/@user9051965569350" TargetMode="External"/><Relationship Id="rId43" Type="http://schemas.openxmlformats.org/officeDocument/2006/relationships/hyperlink" Target="https://www.tiktok.com/@auyoluk" TargetMode="External"/><Relationship Id="rId44" Type="http://schemas.openxmlformats.org/officeDocument/2006/relationships/hyperlink" Target="https://www.tiktok.com/@hetch.uk" TargetMode="External"/><Relationship Id="rId45" Type="http://schemas.openxmlformats.org/officeDocument/2006/relationships/hyperlink" Target="https://www.tiktok.com/@emirate2230" TargetMode="External"/><Relationship Id="rId46" Type="http://schemas.openxmlformats.org/officeDocument/2006/relationships/hyperlink" Target="https://www.tiktok.com/@iwealmt05" TargetMode="External"/><Relationship Id="rId47" Type="http://schemas.openxmlformats.org/officeDocument/2006/relationships/hyperlink" Target="https://www.tiktok.com/@8.eight84" TargetMode="External"/><Relationship Id="rId48" Type="http://schemas.openxmlformats.org/officeDocument/2006/relationships/hyperlink" Target="https://www.tiktok.com/@morphcostumes" TargetMode="External"/><Relationship Id="rId49" Type="http://schemas.openxmlformats.org/officeDocument/2006/relationships/hyperlink" Target="https://www.tiktok.com/@label.cutters" TargetMode="External"/><Relationship Id="rId50" Type="http://schemas.openxmlformats.org/officeDocument/2006/relationships/hyperlink" Target="https://www.tiktok.com/@toptierco" TargetMode="External"/><Relationship Id="rId51" Type="http://schemas.openxmlformats.org/officeDocument/2006/relationships/hyperlink" Target="https://www.tiktok.com/@bella.bambini" TargetMode="External"/><Relationship Id="rId52" Type="http://schemas.openxmlformats.org/officeDocument/2006/relationships/hyperlink" Target="https://www.tiktok.com/@bt.international1" TargetMode="External"/><Relationship Id="rId53" Type="http://schemas.openxmlformats.org/officeDocument/2006/relationships/hyperlink" Target="https://www.tiktok.com/@homelivestore" TargetMode="External"/><Relationship Id="rId54" Type="http://schemas.openxmlformats.org/officeDocument/2006/relationships/hyperlink" Target="https://www.tiktok.com/@lenakliving" TargetMode="External"/><Relationship Id="rId55" Type="http://schemas.openxmlformats.org/officeDocument/2006/relationships/hyperlink" Target="https://www.tiktok.com/@hayzcreations" TargetMode="External"/><Relationship Id="rId56" Type="http://schemas.openxmlformats.org/officeDocument/2006/relationships/hyperlink" Target="https://www.tiktok.com/@misslulubags" TargetMode="External"/><Relationship Id="rId57" Type="http://schemas.openxmlformats.org/officeDocument/2006/relationships/hyperlink" Target="https://www.tiktok.com/@laurarichardsboutique" TargetMode="External"/><Relationship Id="rId58" Type="http://schemas.openxmlformats.org/officeDocument/2006/relationships/hyperlink" Target="https://www.tiktok.com/@user1921367778827" TargetMode="External"/><Relationship Id="rId59" Type="http://schemas.openxmlformats.org/officeDocument/2006/relationships/hyperlink" Target="https://www.tiktok.com/@silverbirchclothing" TargetMode="External"/><Relationship Id="rId60" Type="http://schemas.openxmlformats.org/officeDocument/2006/relationships/hyperlink" Target="https://www.tiktok.com/@macropick85" TargetMode="External"/><Relationship Id="rId61" Type="http://schemas.openxmlformats.org/officeDocument/2006/relationships/hyperlink" Target="https://www.tiktok.com/@shirin_collection0_uk" TargetMode="External"/><Relationship Id="rId62" Type="http://schemas.openxmlformats.org/officeDocument/2006/relationships/hyperlink" Target="https://www.tiktok.com/@eazy_dresses" TargetMode="External"/><Relationship Id="rId63" Type="http://schemas.openxmlformats.org/officeDocument/2006/relationships/hyperlink" Target="https://www.tiktok.com/@bluestonesmodestfashion1" TargetMode="External"/><Relationship Id="rId64" Type="http://schemas.openxmlformats.org/officeDocument/2006/relationships/hyperlink" Target="https://www.tiktok.com/@manorfarmdogtreats" TargetMode="External"/><Relationship Id="rId65" Type="http://schemas.openxmlformats.org/officeDocument/2006/relationships/hyperlink" Target="https://www.tiktok.com/@thedeliciousdogfoodco" TargetMode="External"/><Relationship Id="rId66" Type="http://schemas.openxmlformats.org/officeDocument/2006/relationships/hyperlink" Target="https://www.tiktok.com/@groomitooluk" TargetMode="External"/><Relationship Id="rId67" Type="http://schemas.openxmlformats.org/officeDocument/2006/relationships/hyperlink" Target="https://www.tiktok.com/@lebara.mobile" TargetMode="External"/><Relationship Id="rId68" Type="http://schemas.openxmlformats.org/officeDocument/2006/relationships/hyperlink" Target="https://www.tiktok.com/@curry04300" TargetMode="External"/><Relationship Id="rId69" Type="http://schemas.openxmlformats.org/officeDocument/2006/relationships/hyperlink" Target="https://www.tiktok.com/@heydude.uk" TargetMode="External"/><Relationship Id="rId70" Type="http://schemas.openxmlformats.org/officeDocument/2006/relationships/hyperlink" Target="https://www.tiktok.com/@dia.studios" TargetMode="External"/><Relationship Id="rId71" Type="http://schemas.openxmlformats.org/officeDocument/2006/relationships/hyperlink" Target="https://www.tiktok.com/@puresport" TargetMode="External"/><Relationship Id="rId72" Type="http://schemas.openxmlformats.org/officeDocument/2006/relationships/hyperlink" Target="https://www.tiktok.com/@agilithor" TargetMode="External"/><Relationship Id="rId73" Type="http://schemas.openxmlformats.org/officeDocument/2006/relationships/hyperlink" Target="https://www.tiktok.com/@teamstryq" TargetMode="External"/><Relationship Id="rId74" Type="http://schemas.openxmlformats.org/officeDocument/2006/relationships/hyperlink" Target="https://www.tiktok.com/@grace_bedding" TargetMode="External"/><Relationship Id="rId75" Type="http://schemas.openxmlformats.org/officeDocument/2006/relationships/hyperlink" Target="https://www.tiktok.com/@hafaauk" TargetMode="External"/><Relationship Id="rId76" Type="http://schemas.openxmlformats.org/officeDocument/2006/relationships/hyperlink" Target="https://www.tiktok.com/@rooee.offical" TargetMode="External"/><Relationship Id="rId77" Type="http://schemas.openxmlformats.org/officeDocument/2006/relationships/hyperlink" Target="https://www.tiktok.com/@mvalue_tools" TargetMode="External"/><Relationship Id="rId78" Type="http://schemas.openxmlformats.org/officeDocument/2006/relationships/hyperlink" Target="https://www.tiktok.com/@fantasticfactoryshop" TargetMode="External"/><Relationship Id="rId79" Type="http://schemas.openxmlformats.org/officeDocument/2006/relationships/hyperlink" Target="https://www.tiktok.com/@funkyfidgetsshop" TargetMode="External"/><Relationship Id="rId80" Type="http://schemas.openxmlformats.org/officeDocument/2006/relationships/hyperlink" Target="https://www.tiktok.com/@cheekywipes" TargetMode="External"/><Relationship Id="rId81" Type="http://schemas.openxmlformats.org/officeDocument/2006/relationships/hyperlink" Target="https://www.tiktok.com/@misthousefashion" TargetMode="External"/><Relationship Id="rId8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23.8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2" t="s">
        <v>11</v>
      </c>
    </row>
    <row r="17" customFormat="false" ht="23.8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/>
    </row>
    <row r="19" customFormat="false" ht="23.85" hidden="false" customHeight="false" outlineLevel="0" collapsed="false">
      <c r="A19" s="2" t="s">
        <v>13</v>
      </c>
    </row>
    <row r="20" customFormat="false" ht="15" hidden="false" customHeight="false" outlineLevel="0" collapsed="false">
      <c r="A20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6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13" min="6" style="0" width="13"/>
    <col collapsed="false" customWidth="true" hidden="false" outlineLevel="0" max="14" min="14" style="0" width="30"/>
    <col collapsed="false" customWidth="true" hidden="false" outlineLevel="0" max="15" min="15" style="0" width="46"/>
    <col collapsed="false" customWidth="true" hidden="false" outlineLevel="0" max="16" min="16" style="0" width="22"/>
    <col collapsed="false" customWidth="true" hidden="false" outlineLevel="0" max="17" min="17" style="0" width="36"/>
    <col collapsed="false" customWidth="true" hidden="false" outlineLevel="0" max="34" min="18" style="0" width="13"/>
    <col collapsed="false" customWidth="true" hidden="false" outlineLevel="0" max="35" min="35" style="0" width="22"/>
  </cols>
  <sheetData>
    <row r="1" customFormat="false" ht="42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  <c r="S1" s="4" t="s">
        <v>33</v>
      </c>
      <c r="T1" s="4" t="s">
        <v>34</v>
      </c>
      <c r="U1" s="4" t="s">
        <v>35</v>
      </c>
      <c r="V1" s="4" t="s">
        <v>36</v>
      </c>
      <c r="W1" s="4" t="s">
        <v>37</v>
      </c>
      <c r="X1" s="4" t="s">
        <v>38</v>
      </c>
      <c r="Y1" s="4" t="s">
        <v>39</v>
      </c>
      <c r="Z1" s="4" t="s">
        <v>40</v>
      </c>
      <c r="AA1" s="4" t="s">
        <v>41</v>
      </c>
      <c r="AB1" s="4" t="s">
        <v>42</v>
      </c>
      <c r="AC1" s="4" t="s">
        <v>43</v>
      </c>
      <c r="AD1" s="4" t="s">
        <v>44</v>
      </c>
      <c r="AE1" s="4" t="s">
        <v>45</v>
      </c>
      <c r="AF1" s="4" t="s">
        <v>46</v>
      </c>
      <c r="AG1" s="4" t="s">
        <v>47</v>
      </c>
      <c r="AH1" s="4" t="s">
        <v>48</v>
      </c>
      <c r="AI1" s="4" t="s">
        <v>49</v>
      </c>
    </row>
    <row r="2" customFormat="false" ht="15" hidden="false" customHeight="false" outlineLevel="0" collapsed="false">
      <c r="A2" s="5" t="s">
        <v>50</v>
      </c>
      <c r="B2" s="5" t="s">
        <v>51</v>
      </c>
      <c r="C2" s="5" t="s">
        <v>52</v>
      </c>
      <c r="D2" s="5" t="s">
        <v>50</v>
      </c>
      <c r="E2" s="5" t="s">
        <v>53</v>
      </c>
      <c r="F2" s="6" t="n">
        <v>23492.68</v>
      </c>
      <c r="G2" s="7" t="n">
        <v>1552</v>
      </c>
      <c r="H2" s="8" t="n">
        <v>-0.0427</v>
      </c>
      <c r="I2" s="8" t="n">
        <v>-0.2821</v>
      </c>
      <c r="J2" s="7" t="n">
        <v>241</v>
      </c>
      <c r="K2" s="5" t="n">
        <v>37</v>
      </c>
      <c r="L2" s="5" t="n">
        <v>63</v>
      </c>
      <c r="M2" s="5" t="n">
        <v>4.2</v>
      </c>
      <c r="N2" s="9" t="s">
        <v>54</v>
      </c>
      <c r="O2" s="5"/>
      <c r="P2" s="5"/>
      <c r="Q2" s="5"/>
      <c r="R2" s="7"/>
      <c r="S2" s="7"/>
      <c r="T2" s="5"/>
      <c r="U2" s="6"/>
      <c r="V2" s="7"/>
      <c r="W2" s="5"/>
      <c r="X2" s="7"/>
      <c r="Y2" s="7"/>
      <c r="Z2" s="7"/>
      <c r="AA2" s="10"/>
      <c r="AB2" s="11"/>
      <c r="AC2" s="10"/>
      <c r="AD2" s="12"/>
      <c r="AE2" s="12"/>
      <c r="AF2" s="12"/>
      <c r="AG2" s="7"/>
      <c r="AH2" s="7"/>
      <c r="AI2" s="5" t="s">
        <v>55</v>
      </c>
    </row>
    <row r="3" customFormat="false" ht="15" hidden="false" customHeight="false" outlineLevel="0" collapsed="false">
      <c r="A3" s="5" t="s">
        <v>50</v>
      </c>
      <c r="B3" s="5" t="s">
        <v>56</v>
      </c>
      <c r="C3" s="5"/>
      <c r="D3" s="5" t="s">
        <v>50</v>
      </c>
      <c r="E3" s="5" t="s">
        <v>53</v>
      </c>
      <c r="F3" s="6" t="n">
        <v>21804.76</v>
      </c>
      <c r="G3" s="7" t="n">
        <v>341</v>
      </c>
      <c r="H3" s="8" t="n">
        <v>0.472</v>
      </c>
      <c r="I3" s="8" t="n">
        <v>0.2222</v>
      </c>
      <c r="J3" s="7" t="n">
        <v>52</v>
      </c>
      <c r="K3" s="5" t="n">
        <v>9</v>
      </c>
      <c r="L3" s="5" t="n">
        <v>24</v>
      </c>
      <c r="M3" s="5" t="n">
        <v>3.5</v>
      </c>
      <c r="N3" s="9" t="s">
        <v>54</v>
      </c>
      <c r="O3" s="5"/>
      <c r="P3" s="5"/>
      <c r="Q3" s="5"/>
      <c r="R3" s="7"/>
      <c r="S3" s="7"/>
      <c r="T3" s="5"/>
      <c r="U3" s="6"/>
      <c r="V3" s="7"/>
      <c r="W3" s="5"/>
      <c r="X3" s="7"/>
      <c r="Y3" s="7"/>
      <c r="Z3" s="7"/>
      <c r="AA3" s="10"/>
      <c r="AB3" s="11"/>
      <c r="AC3" s="10"/>
      <c r="AD3" s="12"/>
      <c r="AE3" s="12"/>
      <c r="AF3" s="12"/>
      <c r="AG3" s="7"/>
      <c r="AH3" s="7"/>
      <c r="AI3" s="5" t="s">
        <v>57</v>
      </c>
    </row>
    <row r="4" customFormat="false" ht="15" hidden="false" customHeight="false" outlineLevel="0" collapsed="false">
      <c r="A4" s="5" t="s">
        <v>50</v>
      </c>
      <c r="B4" s="5" t="s">
        <v>58</v>
      </c>
      <c r="C4" s="5"/>
      <c r="D4" s="5" t="s">
        <v>59</v>
      </c>
      <c r="E4" s="5" t="s">
        <v>60</v>
      </c>
      <c r="F4" s="6" t="n">
        <v>19758.12</v>
      </c>
      <c r="G4" s="7" t="n">
        <v>1268</v>
      </c>
      <c r="H4" s="8" t="n">
        <v>1.2384</v>
      </c>
      <c r="I4" s="8" t="n">
        <v>0.7759</v>
      </c>
      <c r="J4" s="7" t="n">
        <v>34</v>
      </c>
      <c r="K4" s="5" t="n">
        <v>1</v>
      </c>
      <c r="L4" s="5" t="n">
        <v>16</v>
      </c>
      <c r="M4" s="5" t="n">
        <v>4.4</v>
      </c>
      <c r="N4" s="13" t="s">
        <v>61</v>
      </c>
      <c r="O4" s="5"/>
      <c r="P4" s="5"/>
      <c r="Q4" s="5"/>
      <c r="R4" s="7"/>
      <c r="S4" s="7"/>
      <c r="T4" s="5"/>
      <c r="U4" s="6"/>
      <c r="V4" s="7"/>
      <c r="W4" s="5"/>
      <c r="X4" s="7"/>
      <c r="Y4" s="7"/>
      <c r="Z4" s="7"/>
      <c r="AA4" s="10"/>
      <c r="AB4" s="11"/>
      <c r="AC4" s="10"/>
      <c r="AD4" s="12"/>
      <c r="AE4" s="12"/>
      <c r="AF4" s="12"/>
      <c r="AG4" s="7"/>
      <c r="AH4" s="7"/>
      <c r="AI4" s="5" t="s">
        <v>62</v>
      </c>
    </row>
    <row r="5" customFormat="false" ht="15" hidden="false" customHeight="false" outlineLevel="0" collapsed="false">
      <c r="A5" s="5" t="s">
        <v>50</v>
      </c>
      <c r="B5" s="5" t="s">
        <v>63</v>
      </c>
      <c r="C5" s="5" t="s">
        <v>64</v>
      </c>
      <c r="D5" s="5" t="s">
        <v>59</v>
      </c>
      <c r="E5" s="5" t="s">
        <v>60</v>
      </c>
      <c r="F5" s="6" t="n">
        <v>19459.44</v>
      </c>
      <c r="G5" s="7" t="n">
        <v>897</v>
      </c>
      <c r="H5" s="8" t="n">
        <v>0.2425</v>
      </c>
      <c r="I5" s="8" t="n">
        <v>-0.2731</v>
      </c>
      <c r="J5" s="7" t="n">
        <v>14</v>
      </c>
      <c r="K5" s="5" t="n">
        <v>8</v>
      </c>
      <c r="L5" s="5" t="n">
        <v>42</v>
      </c>
      <c r="M5" s="5" t="n">
        <v>3.7</v>
      </c>
      <c r="N5" s="13" t="s">
        <v>61</v>
      </c>
      <c r="O5" s="5"/>
      <c r="P5" s="5"/>
      <c r="Q5" s="5"/>
      <c r="R5" s="7"/>
      <c r="S5" s="7"/>
      <c r="T5" s="5"/>
      <c r="U5" s="6"/>
      <c r="V5" s="7"/>
      <c r="W5" s="5"/>
      <c r="X5" s="7"/>
      <c r="Y5" s="7"/>
      <c r="Z5" s="7"/>
      <c r="AA5" s="10"/>
      <c r="AB5" s="11"/>
      <c r="AC5" s="10"/>
      <c r="AD5" s="12"/>
      <c r="AE5" s="12"/>
      <c r="AF5" s="12"/>
      <c r="AG5" s="7"/>
      <c r="AH5" s="7"/>
      <c r="AI5" s="5" t="s">
        <v>65</v>
      </c>
    </row>
    <row r="6" customFormat="false" ht="15" hidden="false" customHeight="false" outlineLevel="0" collapsed="false">
      <c r="A6" s="5" t="s">
        <v>50</v>
      </c>
      <c r="B6" s="5" t="s">
        <v>66</v>
      </c>
      <c r="C6" s="5"/>
      <c r="D6" s="5" t="s">
        <v>50</v>
      </c>
      <c r="E6" s="5" t="s">
        <v>60</v>
      </c>
      <c r="F6" s="6" t="n">
        <v>18796.42</v>
      </c>
      <c r="G6" s="7" t="n">
        <v>1054</v>
      </c>
      <c r="H6" s="8" t="n">
        <v>-0.702</v>
      </c>
      <c r="I6" s="8" t="n">
        <v>-0.7104</v>
      </c>
      <c r="J6" s="7" t="n">
        <v>57</v>
      </c>
      <c r="K6" s="5" t="n">
        <v>11</v>
      </c>
      <c r="L6" s="5" t="n">
        <v>121</v>
      </c>
      <c r="M6" s="5" t="n">
        <v>3.4</v>
      </c>
      <c r="N6" s="9" t="s">
        <v>54</v>
      </c>
      <c r="O6" s="5"/>
      <c r="P6" s="5" t="s">
        <v>67</v>
      </c>
      <c r="Q6" s="14" t="s">
        <v>68</v>
      </c>
      <c r="R6" s="7" t="n">
        <v>1965</v>
      </c>
      <c r="S6" s="7" t="n">
        <v>295</v>
      </c>
      <c r="T6" s="5" t="s">
        <v>69</v>
      </c>
      <c r="U6" s="6" t="n">
        <v>1361989.48</v>
      </c>
      <c r="V6" s="7" t="n">
        <v>104192</v>
      </c>
      <c r="W6" s="5" t="n">
        <v>240</v>
      </c>
      <c r="X6" s="7" t="n">
        <v>1703</v>
      </c>
      <c r="Y6" s="7" t="n">
        <v>4716</v>
      </c>
      <c r="Z6" s="7" t="n">
        <v>846</v>
      </c>
      <c r="AA6" s="10" t="n">
        <v>1.14</v>
      </c>
      <c r="AB6" s="11" t="n">
        <v>50</v>
      </c>
      <c r="AC6" s="10" t="n">
        <v>8.88</v>
      </c>
      <c r="AD6" s="12" t="n">
        <v>0.81</v>
      </c>
      <c r="AE6" s="12" t="n">
        <v>0.74</v>
      </c>
      <c r="AF6" s="12" t="n">
        <v>1</v>
      </c>
      <c r="AG6" s="7" t="n">
        <v>20</v>
      </c>
      <c r="AH6" s="7" t="n">
        <v>1321</v>
      </c>
      <c r="AI6" s="5" t="s">
        <v>70</v>
      </c>
    </row>
    <row r="7" customFormat="false" ht="15" hidden="false" customHeight="false" outlineLevel="0" collapsed="false">
      <c r="A7" s="5" t="s">
        <v>50</v>
      </c>
      <c r="B7" s="5" t="s">
        <v>71</v>
      </c>
      <c r="C7" s="5" t="s">
        <v>72</v>
      </c>
      <c r="D7" s="5" t="s">
        <v>50</v>
      </c>
      <c r="E7" s="5" t="s">
        <v>53</v>
      </c>
      <c r="F7" s="6" t="n">
        <v>18648.68</v>
      </c>
      <c r="G7" s="7" t="n">
        <v>1586</v>
      </c>
      <c r="H7" s="8" t="n">
        <v>-0.4186</v>
      </c>
      <c r="I7" s="8" t="n">
        <v>-0.4338</v>
      </c>
      <c r="J7" s="7" t="n">
        <v>151</v>
      </c>
      <c r="K7" s="5" t="n">
        <v>38</v>
      </c>
      <c r="L7" s="5" t="n">
        <v>110</v>
      </c>
      <c r="M7" s="5" t="n">
        <v>2.7</v>
      </c>
      <c r="N7" s="9" t="s">
        <v>54</v>
      </c>
      <c r="O7" s="5"/>
      <c r="P7" s="5"/>
      <c r="Q7" s="5"/>
      <c r="R7" s="7"/>
      <c r="S7" s="7"/>
      <c r="T7" s="5"/>
      <c r="U7" s="6"/>
      <c r="V7" s="7"/>
      <c r="W7" s="5"/>
      <c r="X7" s="7"/>
      <c r="Y7" s="7"/>
      <c r="Z7" s="7"/>
      <c r="AA7" s="10"/>
      <c r="AB7" s="11"/>
      <c r="AC7" s="10"/>
      <c r="AD7" s="12"/>
      <c r="AE7" s="12"/>
      <c r="AF7" s="12"/>
      <c r="AG7" s="7"/>
      <c r="AH7" s="7"/>
      <c r="AI7" s="5" t="s">
        <v>73</v>
      </c>
    </row>
    <row r="8" customFormat="false" ht="15" hidden="false" customHeight="false" outlineLevel="0" collapsed="false">
      <c r="A8" s="5" t="s">
        <v>50</v>
      </c>
      <c r="B8" s="5" t="s">
        <v>74</v>
      </c>
      <c r="C8" s="5" t="s">
        <v>74</v>
      </c>
      <c r="D8" s="5" t="s">
        <v>50</v>
      </c>
      <c r="E8" s="5" t="s">
        <v>60</v>
      </c>
      <c r="F8" s="6" t="n">
        <v>17727.45</v>
      </c>
      <c r="G8" s="7" t="n">
        <v>1384</v>
      </c>
      <c r="H8" s="8" t="n">
        <v>-0.4278</v>
      </c>
      <c r="I8" s="8" t="n">
        <v>-0.4466</v>
      </c>
      <c r="J8" s="7" t="n">
        <v>286</v>
      </c>
      <c r="K8" s="5" t="n">
        <v>1</v>
      </c>
      <c r="L8" s="5" t="n">
        <v>14</v>
      </c>
      <c r="M8" s="5" t="n">
        <v>4.7</v>
      </c>
      <c r="N8" s="9" t="s">
        <v>54</v>
      </c>
      <c r="O8" s="5"/>
      <c r="P8" s="5" t="s">
        <v>75</v>
      </c>
      <c r="Q8" s="14" t="s">
        <v>76</v>
      </c>
      <c r="R8" s="7" t="n">
        <v>2324</v>
      </c>
      <c r="S8" s="7" t="n">
        <v>232</v>
      </c>
      <c r="T8" s="5" t="s">
        <v>77</v>
      </c>
      <c r="U8" s="6" t="n">
        <v>480990.87</v>
      </c>
      <c r="V8" s="7" t="n">
        <v>51236</v>
      </c>
      <c r="W8" s="5" t="n">
        <v>117</v>
      </c>
      <c r="X8" s="7" t="n">
        <v>864</v>
      </c>
      <c r="Y8" s="7" t="n">
        <v>2436</v>
      </c>
      <c r="Z8" s="7" t="n">
        <v>927</v>
      </c>
      <c r="AA8" s="10" t="n">
        <v>0.77</v>
      </c>
      <c r="AB8" s="11" t="n">
        <v>55</v>
      </c>
      <c r="AC8" s="10" t="n">
        <v>10.2</v>
      </c>
      <c r="AD8" s="12" t="n">
        <v>0.69</v>
      </c>
      <c r="AE8" s="12" t="n">
        <v>0.88</v>
      </c>
      <c r="AF8" s="12" t="n">
        <v>0.98</v>
      </c>
      <c r="AG8" s="7" t="n">
        <v>34</v>
      </c>
      <c r="AH8" s="7" t="n">
        <v>2065</v>
      </c>
      <c r="AI8" s="5" t="s">
        <v>78</v>
      </c>
    </row>
    <row r="9" customFormat="false" ht="15" hidden="false" customHeight="false" outlineLevel="0" collapsed="false">
      <c r="A9" s="5" t="s">
        <v>50</v>
      </c>
      <c r="B9" s="5" t="s">
        <v>79</v>
      </c>
      <c r="C9" s="5" t="s">
        <v>80</v>
      </c>
      <c r="D9" s="5" t="s">
        <v>59</v>
      </c>
      <c r="E9" s="5" t="s">
        <v>60</v>
      </c>
      <c r="F9" s="6" t="n">
        <v>17622.47</v>
      </c>
      <c r="G9" s="7" t="n">
        <v>610</v>
      </c>
      <c r="H9" s="8" t="n">
        <v>-0.0634</v>
      </c>
      <c r="I9" s="8" t="n">
        <v>-0.1223</v>
      </c>
      <c r="J9" s="7" t="n">
        <v>30</v>
      </c>
      <c r="K9" s="5" t="n">
        <v>1</v>
      </c>
      <c r="L9" s="5" t="n">
        <v>35</v>
      </c>
      <c r="M9" s="5" t="n">
        <v>4.6</v>
      </c>
      <c r="N9" s="13" t="s">
        <v>61</v>
      </c>
      <c r="O9" s="5"/>
      <c r="P9" s="5"/>
      <c r="Q9" s="5"/>
      <c r="R9" s="7"/>
      <c r="S9" s="7"/>
      <c r="T9" s="5"/>
      <c r="U9" s="6"/>
      <c r="V9" s="7"/>
      <c r="W9" s="5"/>
      <c r="X9" s="7"/>
      <c r="Y9" s="7"/>
      <c r="Z9" s="7"/>
      <c r="AA9" s="10"/>
      <c r="AB9" s="11"/>
      <c r="AC9" s="10"/>
      <c r="AD9" s="12"/>
      <c r="AE9" s="12"/>
      <c r="AF9" s="12"/>
      <c r="AG9" s="7"/>
      <c r="AH9" s="7"/>
      <c r="AI9" s="5" t="s">
        <v>81</v>
      </c>
    </row>
    <row r="10" customFormat="false" ht="15" hidden="false" customHeight="false" outlineLevel="0" collapsed="false">
      <c r="A10" s="5" t="s">
        <v>50</v>
      </c>
      <c r="B10" s="5" t="s">
        <v>82</v>
      </c>
      <c r="C10" s="5"/>
      <c r="D10" s="5" t="s">
        <v>83</v>
      </c>
      <c r="E10" s="5" t="s">
        <v>60</v>
      </c>
      <c r="F10" s="6" t="n">
        <v>17428.5</v>
      </c>
      <c r="G10" s="7" t="n">
        <v>1267</v>
      </c>
      <c r="H10" s="8" t="n">
        <v>0.8122</v>
      </c>
      <c r="I10" s="8" t="n">
        <v>0.7332</v>
      </c>
      <c r="J10" s="7" t="n">
        <v>5</v>
      </c>
      <c r="K10" s="5" t="n">
        <v>6</v>
      </c>
      <c r="L10" s="5" t="n">
        <v>152</v>
      </c>
      <c r="M10" s="5" t="n">
        <v>3.3</v>
      </c>
      <c r="N10" s="13" t="s">
        <v>61</v>
      </c>
      <c r="O10" s="5"/>
      <c r="P10" s="5"/>
      <c r="Q10" s="5"/>
      <c r="R10" s="7"/>
      <c r="S10" s="7"/>
      <c r="T10" s="5"/>
      <c r="U10" s="6"/>
      <c r="V10" s="7"/>
      <c r="W10" s="5"/>
      <c r="X10" s="7"/>
      <c r="Y10" s="7"/>
      <c r="Z10" s="7"/>
      <c r="AA10" s="10"/>
      <c r="AB10" s="11"/>
      <c r="AC10" s="10"/>
      <c r="AD10" s="12"/>
      <c r="AE10" s="12"/>
      <c r="AF10" s="12"/>
      <c r="AG10" s="7"/>
      <c r="AH10" s="7"/>
      <c r="AI10" s="5" t="s">
        <v>84</v>
      </c>
    </row>
    <row r="11" customFormat="false" ht="15" hidden="false" customHeight="false" outlineLevel="0" collapsed="false">
      <c r="A11" s="5" t="s">
        <v>50</v>
      </c>
      <c r="B11" s="5" t="s">
        <v>85</v>
      </c>
      <c r="C11" s="5"/>
      <c r="D11" s="5" t="s">
        <v>50</v>
      </c>
      <c r="E11" s="5" t="s">
        <v>53</v>
      </c>
      <c r="F11" s="6" t="n">
        <v>17264.69</v>
      </c>
      <c r="G11" s="7" t="n">
        <v>360</v>
      </c>
      <c r="H11" s="8" t="n">
        <v>1.5989</v>
      </c>
      <c r="I11" s="8" t="n">
        <v>1.6277</v>
      </c>
      <c r="J11" s="7" t="n">
        <v>51</v>
      </c>
      <c r="K11" s="5" t="n">
        <v>7</v>
      </c>
      <c r="L11" s="5" t="n">
        <v>5</v>
      </c>
      <c r="M11" s="5" t="n">
        <v>4</v>
      </c>
      <c r="N11" s="9" t="s">
        <v>54</v>
      </c>
      <c r="O11" s="5"/>
      <c r="P11" s="5"/>
      <c r="Q11" s="5"/>
      <c r="R11" s="7"/>
      <c r="S11" s="7"/>
      <c r="T11" s="5"/>
      <c r="U11" s="6"/>
      <c r="V11" s="7"/>
      <c r="W11" s="5"/>
      <c r="X11" s="7"/>
      <c r="Y11" s="7"/>
      <c r="Z11" s="7"/>
      <c r="AA11" s="10"/>
      <c r="AB11" s="11"/>
      <c r="AC11" s="10"/>
      <c r="AD11" s="12"/>
      <c r="AE11" s="12"/>
      <c r="AF11" s="12"/>
      <c r="AG11" s="7"/>
      <c r="AH11" s="7"/>
      <c r="AI11" s="5" t="s">
        <v>86</v>
      </c>
    </row>
    <row r="12" customFormat="false" ht="15" hidden="false" customHeight="false" outlineLevel="0" collapsed="false">
      <c r="A12" s="5" t="s">
        <v>50</v>
      </c>
      <c r="B12" s="5" t="s">
        <v>87</v>
      </c>
      <c r="C12" s="5" t="s">
        <v>88</v>
      </c>
      <c r="D12" s="5" t="s">
        <v>89</v>
      </c>
      <c r="E12" s="5" t="s">
        <v>60</v>
      </c>
      <c r="F12" s="6" t="n">
        <v>17068.54</v>
      </c>
      <c r="G12" s="7" t="n">
        <v>391</v>
      </c>
      <c r="H12" s="8" t="n">
        <v>0.0248</v>
      </c>
      <c r="I12" s="8" t="n">
        <v>-0.1369</v>
      </c>
      <c r="J12" s="7" t="n">
        <v>710</v>
      </c>
      <c r="K12" s="5" t="n">
        <v>11</v>
      </c>
      <c r="L12" s="5" t="n">
        <v>169</v>
      </c>
      <c r="M12" s="5" t="n">
        <v>3.9</v>
      </c>
      <c r="N12" s="13" t="s">
        <v>61</v>
      </c>
      <c r="O12" s="5"/>
      <c r="P12" s="5"/>
      <c r="Q12" s="5"/>
      <c r="R12" s="7"/>
      <c r="S12" s="7"/>
      <c r="T12" s="5"/>
      <c r="U12" s="6"/>
      <c r="V12" s="7"/>
      <c r="W12" s="5"/>
      <c r="X12" s="7"/>
      <c r="Y12" s="7"/>
      <c r="Z12" s="7"/>
      <c r="AA12" s="10"/>
      <c r="AB12" s="11"/>
      <c r="AC12" s="10"/>
      <c r="AD12" s="12"/>
      <c r="AE12" s="12"/>
      <c r="AF12" s="12"/>
      <c r="AG12" s="7"/>
      <c r="AH12" s="7"/>
      <c r="AI12" s="5" t="s">
        <v>90</v>
      </c>
    </row>
    <row r="13" customFormat="false" ht="15" hidden="false" customHeight="false" outlineLevel="0" collapsed="false">
      <c r="A13" s="5" t="s">
        <v>50</v>
      </c>
      <c r="B13" s="5" t="s">
        <v>91</v>
      </c>
      <c r="C13" s="5" t="s">
        <v>92</v>
      </c>
      <c r="D13" s="5" t="s">
        <v>59</v>
      </c>
      <c r="E13" s="5" t="s">
        <v>60</v>
      </c>
      <c r="F13" s="6" t="n">
        <v>17017.71</v>
      </c>
      <c r="G13" s="7" t="n">
        <v>1367</v>
      </c>
      <c r="H13" s="8" t="n">
        <v>0.1548</v>
      </c>
      <c r="I13" s="8" t="n">
        <v>0.0186</v>
      </c>
      <c r="J13" s="7" t="n">
        <v>61</v>
      </c>
      <c r="K13" s="5" t="n">
        <v>8</v>
      </c>
      <c r="L13" s="5" t="n">
        <v>207</v>
      </c>
      <c r="M13" s="5" t="n">
        <v>4.7</v>
      </c>
      <c r="N13" s="13" t="s">
        <v>61</v>
      </c>
      <c r="O13" s="5"/>
      <c r="P13" s="5"/>
      <c r="Q13" s="5"/>
      <c r="R13" s="7"/>
      <c r="S13" s="7"/>
      <c r="T13" s="5"/>
      <c r="U13" s="6"/>
      <c r="V13" s="7"/>
      <c r="W13" s="5"/>
      <c r="X13" s="7"/>
      <c r="Y13" s="7"/>
      <c r="Z13" s="7"/>
      <c r="AA13" s="10"/>
      <c r="AB13" s="11"/>
      <c r="AC13" s="10"/>
      <c r="AD13" s="12"/>
      <c r="AE13" s="12"/>
      <c r="AF13" s="12"/>
      <c r="AG13" s="7"/>
      <c r="AH13" s="7"/>
      <c r="AI13" s="5" t="s">
        <v>93</v>
      </c>
    </row>
    <row r="14" customFormat="false" ht="15" hidden="false" customHeight="false" outlineLevel="0" collapsed="false">
      <c r="A14" s="5" t="s">
        <v>50</v>
      </c>
      <c r="B14" s="5" t="s">
        <v>94</v>
      </c>
      <c r="C14" s="5" t="s">
        <v>95</v>
      </c>
      <c r="D14" s="5" t="s">
        <v>50</v>
      </c>
      <c r="E14" s="5" t="s">
        <v>53</v>
      </c>
      <c r="F14" s="6" t="n">
        <v>16796</v>
      </c>
      <c r="G14" s="7" t="n">
        <v>2889</v>
      </c>
      <c r="H14" s="8" t="n">
        <v>-0.0064</v>
      </c>
      <c r="I14" s="8" t="n">
        <v>-0.0826</v>
      </c>
      <c r="J14" s="7" t="n">
        <v>224</v>
      </c>
      <c r="K14" s="5" t="n">
        <v>26</v>
      </c>
      <c r="L14" s="5" t="n">
        <v>52</v>
      </c>
      <c r="M14" s="5" t="n">
        <v>4.7</v>
      </c>
      <c r="N14" s="9" t="s">
        <v>54</v>
      </c>
      <c r="O14" s="5"/>
      <c r="P14" s="5"/>
      <c r="Q14" s="5"/>
      <c r="R14" s="7"/>
      <c r="S14" s="7"/>
      <c r="T14" s="5"/>
      <c r="U14" s="6"/>
      <c r="V14" s="7"/>
      <c r="W14" s="5"/>
      <c r="X14" s="7"/>
      <c r="Y14" s="7"/>
      <c r="Z14" s="7"/>
      <c r="AA14" s="10"/>
      <c r="AB14" s="11"/>
      <c r="AC14" s="10"/>
      <c r="AD14" s="12"/>
      <c r="AE14" s="12"/>
      <c r="AF14" s="12"/>
      <c r="AG14" s="7"/>
      <c r="AH14" s="7"/>
      <c r="AI14" s="5" t="s">
        <v>96</v>
      </c>
    </row>
    <row r="15" customFormat="false" ht="15" hidden="false" customHeight="false" outlineLevel="0" collapsed="false">
      <c r="A15" s="5" t="s">
        <v>50</v>
      </c>
      <c r="B15" s="5" t="s">
        <v>97</v>
      </c>
      <c r="C15" s="5"/>
      <c r="D15" s="5" t="s">
        <v>98</v>
      </c>
      <c r="E15" s="5" t="s">
        <v>53</v>
      </c>
      <c r="F15" s="6" t="n">
        <v>16625.2</v>
      </c>
      <c r="G15" s="7" t="n">
        <v>1357</v>
      </c>
      <c r="H15" s="8" t="n">
        <v>1.2636</v>
      </c>
      <c r="I15" s="8" t="n">
        <v>0.9276</v>
      </c>
      <c r="J15" s="7" t="n">
        <v>81</v>
      </c>
      <c r="K15" s="5" t="n">
        <v>35</v>
      </c>
      <c r="L15" s="5" t="n">
        <v>457</v>
      </c>
      <c r="M15" s="5" t="n">
        <v>4.7</v>
      </c>
      <c r="N15" s="13" t="s">
        <v>61</v>
      </c>
      <c r="O15" s="5"/>
      <c r="P15" s="5"/>
      <c r="Q15" s="5"/>
      <c r="R15" s="7"/>
      <c r="S15" s="7"/>
      <c r="T15" s="5"/>
      <c r="U15" s="6"/>
      <c r="V15" s="7"/>
      <c r="W15" s="5"/>
      <c r="X15" s="7"/>
      <c r="Y15" s="7"/>
      <c r="Z15" s="7"/>
      <c r="AA15" s="10"/>
      <c r="AB15" s="11"/>
      <c r="AC15" s="10"/>
      <c r="AD15" s="12"/>
      <c r="AE15" s="12"/>
      <c r="AF15" s="12"/>
      <c r="AG15" s="7"/>
      <c r="AH15" s="7"/>
      <c r="AI15" s="5" t="s">
        <v>99</v>
      </c>
    </row>
    <row r="16" customFormat="false" ht="15" hidden="false" customHeight="false" outlineLevel="0" collapsed="false">
      <c r="A16" s="5" t="s">
        <v>50</v>
      </c>
      <c r="B16" s="5" t="s">
        <v>100</v>
      </c>
      <c r="C16" s="5" t="s">
        <v>101</v>
      </c>
      <c r="D16" s="5" t="s">
        <v>50</v>
      </c>
      <c r="E16" s="5" t="s">
        <v>53</v>
      </c>
      <c r="F16" s="6" t="n">
        <v>16361.85</v>
      </c>
      <c r="G16" s="7" t="n">
        <v>6724</v>
      </c>
      <c r="H16" s="8" t="n">
        <v>0.3495</v>
      </c>
      <c r="I16" s="8" t="n">
        <v>0.1735</v>
      </c>
      <c r="J16" s="7" t="n">
        <v>356</v>
      </c>
      <c r="K16" s="5" t="n">
        <v>14</v>
      </c>
      <c r="L16" s="5" t="n">
        <v>106</v>
      </c>
      <c r="M16" s="5" t="n">
        <v>4.8</v>
      </c>
      <c r="N16" s="9" t="s">
        <v>54</v>
      </c>
      <c r="O16" s="5"/>
      <c r="P16" s="5"/>
      <c r="Q16" s="5"/>
      <c r="R16" s="7"/>
      <c r="S16" s="7"/>
      <c r="T16" s="5"/>
      <c r="U16" s="6"/>
      <c r="V16" s="7"/>
      <c r="W16" s="5"/>
      <c r="X16" s="7"/>
      <c r="Y16" s="7"/>
      <c r="Z16" s="7"/>
      <c r="AA16" s="10"/>
      <c r="AB16" s="11"/>
      <c r="AC16" s="10"/>
      <c r="AD16" s="12"/>
      <c r="AE16" s="12"/>
      <c r="AF16" s="12"/>
      <c r="AG16" s="7"/>
      <c r="AH16" s="7"/>
      <c r="AI16" s="5" t="s">
        <v>102</v>
      </c>
    </row>
    <row r="17" customFormat="false" ht="15" hidden="false" customHeight="false" outlineLevel="0" collapsed="false">
      <c r="A17" s="5" t="s">
        <v>50</v>
      </c>
      <c r="B17" s="5" t="s">
        <v>103</v>
      </c>
      <c r="C17" s="5"/>
      <c r="D17" s="5" t="s">
        <v>50</v>
      </c>
      <c r="E17" s="5" t="s">
        <v>60</v>
      </c>
      <c r="F17" s="6" t="n">
        <v>15848.94</v>
      </c>
      <c r="G17" s="7" t="n">
        <v>951</v>
      </c>
      <c r="H17" s="8" t="n">
        <v>51.4666</v>
      </c>
      <c r="I17" s="8" t="n">
        <v>42.2273</v>
      </c>
      <c r="J17" s="7" t="n">
        <v>38</v>
      </c>
      <c r="K17" s="5" t="n">
        <v>1</v>
      </c>
      <c r="L17" s="5" t="n">
        <v>5</v>
      </c>
      <c r="M17" s="5" t="n">
        <v>4.7</v>
      </c>
      <c r="N17" s="9" t="s">
        <v>54</v>
      </c>
      <c r="O17" s="5"/>
      <c r="P17" s="5"/>
      <c r="Q17" s="5"/>
      <c r="R17" s="7"/>
      <c r="S17" s="7"/>
      <c r="T17" s="5"/>
      <c r="U17" s="6"/>
      <c r="V17" s="7"/>
      <c r="W17" s="5"/>
      <c r="X17" s="7"/>
      <c r="Y17" s="7"/>
      <c r="Z17" s="7"/>
      <c r="AA17" s="10"/>
      <c r="AB17" s="11"/>
      <c r="AC17" s="10"/>
      <c r="AD17" s="12"/>
      <c r="AE17" s="12"/>
      <c r="AF17" s="12"/>
      <c r="AG17" s="7"/>
      <c r="AH17" s="7"/>
      <c r="AI17" s="5" t="s">
        <v>104</v>
      </c>
    </row>
    <row r="18" customFormat="false" ht="15" hidden="false" customHeight="false" outlineLevel="0" collapsed="false">
      <c r="A18" s="5" t="s">
        <v>50</v>
      </c>
      <c r="B18" s="5" t="s">
        <v>105</v>
      </c>
      <c r="C18" s="5" t="s">
        <v>106</v>
      </c>
      <c r="D18" s="5" t="s">
        <v>50</v>
      </c>
      <c r="E18" s="5" t="s">
        <v>53</v>
      </c>
      <c r="F18" s="6" t="n">
        <v>15649.58</v>
      </c>
      <c r="G18" s="7" t="n">
        <v>676</v>
      </c>
      <c r="H18" s="8" t="n">
        <v>-0.0917</v>
      </c>
      <c r="I18" s="8" t="n">
        <v>-0.0598</v>
      </c>
      <c r="J18" s="7" t="n">
        <v>107</v>
      </c>
      <c r="K18" s="5" t="n">
        <v>21</v>
      </c>
      <c r="L18" s="5" t="n">
        <v>37</v>
      </c>
      <c r="M18" s="5" t="n">
        <v>4.4</v>
      </c>
      <c r="N18" s="9" t="s">
        <v>54</v>
      </c>
      <c r="O18" s="5"/>
      <c r="P18" s="5"/>
      <c r="Q18" s="5"/>
      <c r="R18" s="7"/>
      <c r="S18" s="7"/>
      <c r="T18" s="5"/>
      <c r="U18" s="6"/>
      <c r="V18" s="7"/>
      <c r="W18" s="5"/>
      <c r="X18" s="7"/>
      <c r="Y18" s="7"/>
      <c r="Z18" s="7"/>
      <c r="AA18" s="10"/>
      <c r="AB18" s="11"/>
      <c r="AC18" s="10"/>
      <c r="AD18" s="12"/>
      <c r="AE18" s="12"/>
      <c r="AF18" s="12"/>
      <c r="AG18" s="7"/>
      <c r="AH18" s="7"/>
      <c r="AI18" s="5" t="s">
        <v>107</v>
      </c>
    </row>
    <row r="19" customFormat="false" ht="15" hidden="false" customHeight="false" outlineLevel="0" collapsed="false">
      <c r="A19" s="5" t="s">
        <v>50</v>
      </c>
      <c r="B19" s="5" t="s">
        <v>108</v>
      </c>
      <c r="C19" s="5"/>
      <c r="D19" s="5" t="s">
        <v>50</v>
      </c>
      <c r="E19" s="5" t="s">
        <v>60</v>
      </c>
      <c r="F19" s="6" t="n">
        <v>15403.81</v>
      </c>
      <c r="G19" s="7" t="n">
        <v>331</v>
      </c>
      <c r="H19" s="8" t="n">
        <v>-0.3057</v>
      </c>
      <c r="I19" s="8" t="n">
        <v>-0.338</v>
      </c>
      <c r="J19" s="7" t="n">
        <v>51</v>
      </c>
      <c r="K19" s="5" t="n">
        <v>5</v>
      </c>
      <c r="L19" s="5" t="n">
        <v>4</v>
      </c>
      <c r="M19" s="5" t="n">
        <v>3.2</v>
      </c>
      <c r="N19" s="9" t="s">
        <v>54</v>
      </c>
      <c r="O19" s="5"/>
      <c r="P19" s="5"/>
      <c r="Q19" s="5"/>
      <c r="R19" s="7"/>
      <c r="S19" s="7"/>
      <c r="T19" s="5"/>
      <c r="U19" s="6"/>
      <c r="V19" s="7"/>
      <c r="W19" s="5"/>
      <c r="X19" s="7"/>
      <c r="Y19" s="7"/>
      <c r="Z19" s="7"/>
      <c r="AA19" s="10"/>
      <c r="AB19" s="11"/>
      <c r="AC19" s="10"/>
      <c r="AD19" s="12"/>
      <c r="AE19" s="12"/>
      <c r="AF19" s="12"/>
      <c r="AG19" s="7"/>
      <c r="AH19" s="7"/>
      <c r="AI19" s="5" t="s">
        <v>109</v>
      </c>
    </row>
    <row r="20" customFormat="false" ht="15" hidden="false" customHeight="false" outlineLevel="0" collapsed="false">
      <c r="A20" s="5" t="s">
        <v>50</v>
      </c>
      <c r="B20" s="5" t="s">
        <v>110</v>
      </c>
      <c r="C20" s="5" t="s">
        <v>111</v>
      </c>
      <c r="D20" s="5" t="s">
        <v>50</v>
      </c>
      <c r="E20" s="5" t="s">
        <v>60</v>
      </c>
      <c r="F20" s="6" t="n">
        <v>14579.67</v>
      </c>
      <c r="G20" s="7" t="n">
        <v>1487</v>
      </c>
      <c r="H20" s="8" t="n">
        <v>3.2223</v>
      </c>
      <c r="I20" s="8" t="n">
        <v>1.6987</v>
      </c>
      <c r="J20" s="7" t="n">
        <v>75</v>
      </c>
      <c r="K20" s="5" t="n">
        <v>3</v>
      </c>
      <c r="L20" s="5" t="n">
        <v>117</v>
      </c>
      <c r="M20" s="5" t="n">
        <v>3.3</v>
      </c>
      <c r="N20" s="9" t="s">
        <v>54</v>
      </c>
      <c r="O20" s="5"/>
      <c r="P20" s="5" t="s">
        <v>112</v>
      </c>
      <c r="Q20" s="14" t="s">
        <v>113</v>
      </c>
      <c r="R20" s="7" t="n">
        <v>941</v>
      </c>
      <c r="S20" s="7" t="n">
        <v>25</v>
      </c>
      <c r="T20" s="5" t="s">
        <v>114</v>
      </c>
      <c r="U20" s="6" t="n">
        <v>288744.09</v>
      </c>
      <c r="V20" s="7" t="n">
        <v>27465</v>
      </c>
      <c r="W20" s="5" t="n">
        <v>489</v>
      </c>
      <c r="X20" s="7" t="n">
        <v>798</v>
      </c>
      <c r="Y20" s="7" t="n">
        <v>1926</v>
      </c>
      <c r="Z20" s="7" t="n">
        <v>597</v>
      </c>
      <c r="AA20" s="10" t="n">
        <v>1.52</v>
      </c>
      <c r="AB20" s="11" t="n">
        <v>750</v>
      </c>
      <c r="AC20" s="10" t="n">
        <v>17.86</v>
      </c>
      <c r="AD20" s="12" t="n">
        <v>0.95</v>
      </c>
      <c r="AE20" s="12" t="n">
        <v>0.78</v>
      </c>
      <c r="AF20" s="12" t="n">
        <v>1</v>
      </c>
      <c r="AG20" s="7" t="n">
        <v>54</v>
      </c>
      <c r="AH20" s="7" t="n">
        <v>1218</v>
      </c>
      <c r="AI20" s="5" t="s">
        <v>115</v>
      </c>
    </row>
    <row r="21" customFormat="false" ht="15" hidden="false" customHeight="false" outlineLevel="0" collapsed="false">
      <c r="A21" s="5" t="s">
        <v>50</v>
      </c>
      <c r="B21" s="5" t="s">
        <v>116</v>
      </c>
      <c r="C21" s="5"/>
      <c r="D21" s="5" t="s">
        <v>50</v>
      </c>
      <c r="E21" s="5" t="s">
        <v>53</v>
      </c>
      <c r="F21" s="6" t="n">
        <v>14285.62</v>
      </c>
      <c r="G21" s="7" t="n">
        <v>475</v>
      </c>
      <c r="H21" s="8" t="n">
        <v>4.7134</v>
      </c>
      <c r="I21" s="8" t="n">
        <v>3.703</v>
      </c>
      <c r="J21" s="7" t="n">
        <v>123</v>
      </c>
      <c r="K21" s="5" t="n">
        <v>3</v>
      </c>
      <c r="L21" s="5" t="n">
        <v>17</v>
      </c>
      <c r="M21" s="5" t="n">
        <v>3.7</v>
      </c>
      <c r="N21" s="9" t="s">
        <v>54</v>
      </c>
      <c r="O21" s="5"/>
      <c r="P21" s="5"/>
      <c r="Q21" s="5"/>
      <c r="R21" s="7"/>
      <c r="S21" s="7"/>
      <c r="T21" s="5"/>
      <c r="U21" s="6"/>
      <c r="V21" s="7"/>
      <c r="W21" s="5"/>
      <c r="X21" s="7"/>
      <c r="Y21" s="7"/>
      <c r="Z21" s="7"/>
      <c r="AA21" s="10"/>
      <c r="AB21" s="11"/>
      <c r="AC21" s="10"/>
      <c r="AD21" s="12"/>
      <c r="AE21" s="12"/>
      <c r="AF21" s="12"/>
      <c r="AG21" s="7"/>
      <c r="AH21" s="7"/>
      <c r="AI21" s="5" t="s">
        <v>117</v>
      </c>
    </row>
    <row r="22" customFormat="false" ht="15" hidden="false" customHeight="false" outlineLevel="0" collapsed="false">
      <c r="A22" s="5" t="s">
        <v>50</v>
      </c>
      <c r="B22" s="5" t="s">
        <v>118</v>
      </c>
      <c r="C22" s="5" t="s">
        <v>119</v>
      </c>
      <c r="D22" s="5" t="s">
        <v>59</v>
      </c>
      <c r="E22" s="5" t="s">
        <v>60</v>
      </c>
      <c r="F22" s="6" t="n">
        <v>14032.34</v>
      </c>
      <c r="G22" s="7" t="n">
        <v>811</v>
      </c>
      <c r="H22" s="8" t="n">
        <v>-0.2611</v>
      </c>
      <c r="I22" s="8" t="n">
        <v>-0.4165</v>
      </c>
      <c r="J22" s="7" t="n">
        <v>65</v>
      </c>
      <c r="K22" s="5" t="n">
        <v>8</v>
      </c>
      <c r="L22" s="5" t="n">
        <v>174</v>
      </c>
      <c r="M22" s="5" t="n">
        <v>3.9</v>
      </c>
      <c r="N22" s="13" t="s">
        <v>61</v>
      </c>
      <c r="O22" s="5"/>
      <c r="P22" s="5"/>
      <c r="Q22" s="5"/>
      <c r="R22" s="7"/>
      <c r="S22" s="7"/>
      <c r="T22" s="5"/>
      <c r="U22" s="6"/>
      <c r="V22" s="7"/>
      <c r="W22" s="5"/>
      <c r="X22" s="7"/>
      <c r="Y22" s="7"/>
      <c r="Z22" s="7"/>
      <c r="AA22" s="10"/>
      <c r="AB22" s="11"/>
      <c r="AC22" s="10"/>
      <c r="AD22" s="12"/>
      <c r="AE22" s="12"/>
      <c r="AF22" s="12"/>
      <c r="AG22" s="7"/>
      <c r="AH22" s="7"/>
      <c r="AI22" s="5" t="s">
        <v>120</v>
      </c>
    </row>
    <row r="23" customFormat="false" ht="15" hidden="false" customHeight="false" outlineLevel="0" collapsed="false">
      <c r="A23" s="5" t="s">
        <v>50</v>
      </c>
      <c r="B23" s="5" t="s">
        <v>121</v>
      </c>
      <c r="C23" s="5" t="s">
        <v>122</v>
      </c>
      <c r="D23" s="5" t="s">
        <v>50</v>
      </c>
      <c r="E23" s="5" t="s">
        <v>53</v>
      </c>
      <c r="F23" s="6" t="n">
        <v>13998.68</v>
      </c>
      <c r="G23" s="7" t="n">
        <v>915</v>
      </c>
      <c r="H23" s="8" t="n">
        <v>-0.2652</v>
      </c>
      <c r="I23" s="8" t="n">
        <v>-0.4313</v>
      </c>
      <c r="J23" s="7" t="n">
        <v>168</v>
      </c>
      <c r="K23" s="5" t="n">
        <v>23</v>
      </c>
      <c r="L23" s="5" t="n">
        <v>12</v>
      </c>
      <c r="M23" s="5" t="n">
        <v>4.6</v>
      </c>
      <c r="N23" s="9" t="s">
        <v>54</v>
      </c>
      <c r="O23" s="5"/>
      <c r="P23" s="5"/>
      <c r="Q23" s="5"/>
      <c r="R23" s="7"/>
      <c r="S23" s="7"/>
      <c r="T23" s="5"/>
      <c r="U23" s="6"/>
      <c r="V23" s="7"/>
      <c r="W23" s="5"/>
      <c r="X23" s="7"/>
      <c r="Y23" s="7"/>
      <c r="Z23" s="7"/>
      <c r="AA23" s="10"/>
      <c r="AB23" s="11"/>
      <c r="AC23" s="10"/>
      <c r="AD23" s="12"/>
      <c r="AE23" s="12"/>
      <c r="AF23" s="12"/>
      <c r="AG23" s="7"/>
      <c r="AH23" s="7"/>
      <c r="AI23" s="5" t="s">
        <v>123</v>
      </c>
    </row>
    <row r="24" customFormat="false" ht="15" hidden="false" customHeight="false" outlineLevel="0" collapsed="false">
      <c r="A24" s="5" t="s">
        <v>50</v>
      </c>
      <c r="B24" s="5" t="s">
        <v>124</v>
      </c>
      <c r="C24" s="5" t="s">
        <v>125</v>
      </c>
      <c r="D24" s="5" t="s">
        <v>50</v>
      </c>
      <c r="E24" s="5" t="s">
        <v>60</v>
      </c>
      <c r="F24" s="6" t="n">
        <v>13776.81</v>
      </c>
      <c r="G24" s="7" t="n">
        <v>884</v>
      </c>
      <c r="H24" s="8" t="n">
        <v>0.665</v>
      </c>
      <c r="I24" s="8" t="n">
        <v>0.4636</v>
      </c>
      <c r="J24" s="7" t="n">
        <v>79</v>
      </c>
      <c r="K24" s="5" t="n">
        <v>19</v>
      </c>
      <c r="L24" s="5" t="n">
        <v>337</v>
      </c>
      <c r="M24" s="5" t="n">
        <v>4.2</v>
      </c>
      <c r="N24" s="9" t="s">
        <v>54</v>
      </c>
      <c r="O24" s="5"/>
      <c r="P24" s="5" t="s">
        <v>126</v>
      </c>
      <c r="Q24" s="14" t="s">
        <v>127</v>
      </c>
      <c r="R24" s="7" t="n">
        <v>695</v>
      </c>
      <c r="S24" s="7" t="n">
        <v>12</v>
      </c>
      <c r="T24" s="5" t="s">
        <v>128</v>
      </c>
      <c r="U24" s="6" t="n">
        <v>157887.41</v>
      </c>
      <c r="V24" s="7" t="n">
        <v>14295</v>
      </c>
      <c r="W24" s="5" t="n">
        <v>492</v>
      </c>
      <c r="X24" s="7" t="n">
        <v>278</v>
      </c>
      <c r="Y24" s="7" t="n">
        <v>726</v>
      </c>
      <c r="Z24" s="7" t="n">
        <v>135</v>
      </c>
      <c r="AA24" s="10" t="n">
        <v>1.63</v>
      </c>
      <c r="AB24" s="11" t="n">
        <v>113</v>
      </c>
      <c r="AC24" s="10" t="n">
        <v>12.71</v>
      </c>
      <c r="AD24" s="12" t="n">
        <v>0.59</v>
      </c>
      <c r="AE24" s="12" t="n">
        <v>0.85</v>
      </c>
      <c r="AF24" s="12" t="n">
        <v>0.85</v>
      </c>
      <c r="AG24" s="7" t="n">
        <v>52</v>
      </c>
      <c r="AH24" s="7" t="n">
        <v>2887</v>
      </c>
      <c r="AI24" s="5" t="s">
        <v>129</v>
      </c>
    </row>
    <row r="25" customFormat="false" ht="15" hidden="false" customHeight="false" outlineLevel="0" collapsed="false">
      <c r="A25" s="5" t="s">
        <v>50</v>
      </c>
      <c r="B25" s="5" t="s">
        <v>130</v>
      </c>
      <c r="C25" s="5" t="s">
        <v>131</v>
      </c>
      <c r="D25" s="5" t="s">
        <v>50</v>
      </c>
      <c r="E25" s="5" t="s">
        <v>53</v>
      </c>
      <c r="F25" s="6" t="n">
        <v>13397.27</v>
      </c>
      <c r="G25" s="7" t="n">
        <v>208</v>
      </c>
      <c r="H25" s="8" t="n">
        <v>0.4297</v>
      </c>
      <c r="I25" s="8" t="n">
        <v>0.3333</v>
      </c>
      <c r="J25" s="7" t="n">
        <v>146</v>
      </c>
      <c r="K25" s="5" t="n">
        <v>5</v>
      </c>
      <c r="L25" s="5" t="n">
        <v>2</v>
      </c>
      <c r="M25" s="5" t="n">
        <v>4.4</v>
      </c>
      <c r="N25" s="9" t="s">
        <v>54</v>
      </c>
      <c r="O25" s="5"/>
      <c r="P25" s="5"/>
      <c r="Q25" s="5"/>
      <c r="R25" s="7"/>
      <c r="S25" s="7"/>
      <c r="T25" s="5"/>
      <c r="U25" s="6"/>
      <c r="V25" s="7"/>
      <c r="W25" s="5"/>
      <c r="X25" s="7"/>
      <c r="Y25" s="7"/>
      <c r="Z25" s="7"/>
      <c r="AA25" s="10"/>
      <c r="AB25" s="11"/>
      <c r="AC25" s="10"/>
      <c r="AD25" s="12"/>
      <c r="AE25" s="12"/>
      <c r="AF25" s="12"/>
      <c r="AG25" s="7"/>
      <c r="AH25" s="7"/>
      <c r="AI25" s="5" t="s">
        <v>132</v>
      </c>
    </row>
    <row r="26" customFormat="false" ht="15" hidden="false" customHeight="false" outlineLevel="0" collapsed="false">
      <c r="A26" s="5" t="s">
        <v>50</v>
      </c>
      <c r="B26" s="5" t="s">
        <v>133</v>
      </c>
      <c r="C26" s="5"/>
      <c r="D26" s="5" t="s">
        <v>50</v>
      </c>
      <c r="E26" s="5" t="s">
        <v>53</v>
      </c>
      <c r="F26" s="6" t="n">
        <v>13323.3</v>
      </c>
      <c r="G26" s="7" t="n">
        <v>121</v>
      </c>
      <c r="H26" s="8" t="n">
        <v>-0.127</v>
      </c>
      <c r="I26" s="8" t="n">
        <v>-0.2092</v>
      </c>
      <c r="J26" s="7" t="n">
        <v>27</v>
      </c>
      <c r="K26" s="5" t="n">
        <v>5</v>
      </c>
      <c r="L26" s="5" t="n">
        <v>5</v>
      </c>
      <c r="M26" s="5" t="n">
        <v>3.8</v>
      </c>
      <c r="N26" s="9" t="s">
        <v>54</v>
      </c>
      <c r="O26" s="5"/>
      <c r="P26" s="5"/>
      <c r="Q26" s="5"/>
      <c r="R26" s="7"/>
      <c r="S26" s="7"/>
      <c r="T26" s="5"/>
      <c r="U26" s="6"/>
      <c r="V26" s="7"/>
      <c r="W26" s="5"/>
      <c r="X26" s="7"/>
      <c r="Y26" s="7"/>
      <c r="Z26" s="7"/>
      <c r="AA26" s="10"/>
      <c r="AB26" s="11"/>
      <c r="AC26" s="10"/>
      <c r="AD26" s="12"/>
      <c r="AE26" s="12"/>
      <c r="AF26" s="12"/>
      <c r="AG26" s="7"/>
      <c r="AH26" s="7"/>
      <c r="AI26" s="5" t="s">
        <v>134</v>
      </c>
    </row>
    <row r="27" customFormat="false" ht="15" hidden="false" customHeight="false" outlineLevel="0" collapsed="false">
      <c r="A27" s="5" t="s">
        <v>50</v>
      </c>
      <c r="B27" s="5" t="s">
        <v>135</v>
      </c>
      <c r="C27" s="5" t="s">
        <v>136</v>
      </c>
      <c r="D27" s="5" t="s">
        <v>50</v>
      </c>
      <c r="E27" s="5" t="s">
        <v>53</v>
      </c>
      <c r="F27" s="6" t="n">
        <v>12598.15</v>
      </c>
      <c r="G27" s="7" t="n">
        <v>1798</v>
      </c>
      <c r="H27" s="8" t="n">
        <v>0.228</v>
      </c>
      <c r="I27" s="8" t="n">
        <v>0.0904</v>
      </c>
      <c r="J27" s="7" t="n">
        <v>52</v>
      </c>
      <c r="K27" s="5" t="n">
        <v>3</v>
      </c>
      <c r="L27" s="5" t="n">
        <v>6</v>
      </c>
      <c r="M27" s="5" t="n">
        <v>4.7</v>
      </c>
      <c r="N27" s="9" t="s">
        <v>54</v>
      </c>
      <c r="O27" s="5"/>
      <c r="P27" s="5"/>
      <c r="Q27" s="5"/>
      <c r="R27" s="7"/>
      <c r="S27" s="7"/>
      <c r="T27" s="5"/>
      <c r="U27" s="6"/>
      <c r="V27" s="7"/>
      <c r="W27" s="5"/>
      <c r="X27" s="7"/>
      <c r="Y27" s="7"/>
      <c r="Z27" s="7"/>
      <c r="AA27" s="10"/>
      <c r="AB27" s="11"/>
      <c r="AC27" s="10"/>
      <c r="AD27" s="12"/>
      <c r="AE27" s="12"/>
      <c r="AF27" s="12"/>
      <c r="AG27" s="7"/>
      <c r="AH27" s="7"/>
      <c r="AI27" s="5" t="s">
        <v>137</v>
      </c>
    </row>
    <row r="28" customFormat="false" ht="15" hidden="false" customHeight="false" outlineLevel="0" collapsed="false">
      <c r="A28" s="5" t="s">
        <v>138</v>
      </c>
      <c r="B28" s="5" t="s">
        <v>139</v>
      </c>
      <c r="C28" s="5"/>
      <c r="D28" s="5" t="s">
        <v>140</v>
      </c>
      <c r="E28" s="5" t="s">
        <v>60</v>
      </c>
      <c r="F28" s="6" t="n">
        <v>29408.15</v>
      </c>
      <c r="G28" s="7" t="n">
        <v>714</v>
      </c>
      <c r="H28" s="8" t="n">
        <v>1.2702</v>
      </c>
      <c r="I28" s="8" t="n">
        <v>1.38</v>
      </c>
      <c r="J28" s="7" t="n">
        <v>178</v>
      </c>
      <c r="K28" s="5" t="n">
        <v>5</v>
      </c>
      <c r="L28" s="5" t="n">
        <v>71</v>
      </c>
      <c r="M28" s="5" t="n">
        <v>4.4</v>
      </c>
      <c r="N28" s="13" t="s">
        <v>61</v>
      </c>
      <c r="O28" s="5" t="s">
        <v>141</v>
      </c>
      <c r="P28" s="5"/>
      <c r="Q28" s="5"/>
      <c r="R28" s="7"/>
      <c r="S28" s="7"/>
      <c r="T28" s="5"/>
      <c r="U28" s="6"/>
      <c r="V28" s="7"/>
      <c r="W28" s="5"/>
      <c r="X28" s="7"/>
      <c r="Y28" s="7"/>
      <c r="Z28" s="7"/>
      <c r="AA28" s="10"/>
      <c r="AB28" s="11"/>
      <c r="AC28" s="10"/>
      <c r="AD28" s="12"/>
      <c r="AE28" s="12"/>
      <c r="AF28" s="12"/>
      <c r="AG28" s="7"/>
      <c r="AH28" s="7"/>
      <c r="AI28" s="5" t="s">
        <v>142</v>
      </c>
    </row>
    <row r="29" customFormat="false" ht="15" hidden="false" customHeight="false" outlineLevel="0" collapsed="false">
      <c r="A29" s="5" t="s">
        <v>138</v>
      </c>
      <c r="B29" s="5" t="s">
        <v>143</v>
      </c>
      <c r="C29" s="5"/>
      <c r="D29" s="5" t="s">
        <v>59</v>
      </c>
      <c r="E29" s="5" t="s">
        <v>60</v>
      </c>
      <c r="F29" s="6" t="n">
        <v>27480.14</v>
      </c>
      <c r="G29" s="7" t="n">
        <v>973</v>
      </c>
      <c r="H29" s="8" t="n">
        <v>-0.0334</v>
      </c>
      <c r="I29" s="8" t="n">
        <v>-0.0635</v>
      </c>
      <c r="J29" s="7" t="n">
        <v>61</v>
      </c>
      <c r="K29" s="5" t="n">
        <v>4</v>
      </c>
      <c r="L29" s="5" t="n">
        <v>40</v>
      </c>
      <c r="M29" s="5" t="n">
        <v>3.9</v>
      </c>
      <c r="N29" s="13" t="s">
        <v>61</v>
      </c>
      <c r="O29" s="5"/>
      <c r="P29" s="5"/>
      <c r="Q29" s="5"/>
      <c r="R29" s="7"/>
      <c r="S29" s="7"/>
      <c r="T29" s="5"/>
      <c r="U29" s="6"/>
      <c r="V29" s="7"/>
      <c r="W29" s="5"/>
      <c r="X29" s="7"/>
      <c r="Y29" s="7"/>
      <c r="Z29" s="7"/>
      <c r="AA29" s="10"/>
      <c r="AB29" s="11"/>
      <c r="AC29" s="10"/>
      <c r="AD29" s="12"/>
      <c r="AE29" s="12"/>
      <c r="AF29" s="12"/>
      <c r="AG29" s="7"/>
      <c r="AH29" s="7"/>
      <c r="AI29" s="5" t="s">
        <v>144</v>
      </c>
    </row>
    <row r="30" customFormat="false" ht="15" hidden="false" customHeight="false" outlineLevel="0" collapsed="false">
      <c r="A30" s="5" t="s">
        <v>138</v>
      </c>
      <c r="B30" s="5" t="s">
        <v>145</v>
      </c>
      <c r="C30" s="5" t="s">
        <v>146</v>
      </c>
      <c r="D30" s="5" t="s">
        <v>138</v>
      </c>
      <c r="E30" s="5" t="s">
        <v>60</v>
      </c>
      <c r="F30" s="6" t="n">
        <v>26720.85</v>
      </c>
      <c r="G30" s="7" t="n">
        <v>462</v>
      </c>
      <c r="H30" s="8" t="n">
        <v>1.0187</v>
      </c>
      <c r="I30" s="8" t="n">
        <v>0.8406</v>
      </c>
      <c r="J30" s="7" t="n">
        <v>107</v>
      </c>
      <c r="K30" s="5" t="n">
        <v>8</v>
      </c>
      <c r="L30" s="5" t="n">
        <v>26</v>
      </c>
      <c r="M30" s="5" t="n">
        <v>4.5</v>
      </c>
      <c r="N30" s="9" t="s">
        <v>54</v>
      </c>
      <c r="O30" s="5"/>
      <c r="P30" s="5"/>
      <c r="Q30" s="5"/>
      <c r="R30" s="7"/>
      <c r="S30" s="7"/>
      <c r="T30" s="5"/>
      <c r="U30" s="6"/>
      <c r="V30" s="7"/>
      <c r="W30" s="5"/>
      <c r="X30" s="7"/>
      <c r="Y30" s="7"/>
      <c r="Z30" s="7"/>
      <c r="AA30" s="10"/>
      <c r="AB30" s="11"/>
      <c r="AC30" s="10"/>
      <c r="AD30" s="12"/>
      <c r="AE30" s="12"/>
      <c r="AF30" s="12"/>
      <c r="AG30" s="7"/>
      <c r="AH30" s="7"/>
      <c r="AI30" s="5" t="s">
        <v>147</v>
      </c>
    </row>
    <row r="31" customFormat="false" ht="15" hidden="false" customHeight="false" outlineLevel="0" collapsed="false">
      <c r="A31" s="5" t="s">
        <v>138</v>
      </c>
      <c r="B31" s="5" t="s">
        <v>148</v>
      </c>
      <c r="C31" s="5" t="s">
        <v>149</v>
      </c>
      <c r="D31" s="5" t="s">
        <v>150</v>
      </c>
      <c r="E31" s="5" t="s">
        <v>60</v>
      </c>
      <c r="F31" s="6" t="n">
        <v>25235.81</v>
      </c>
      <c r="G31" s="7" t="n">
        <v>165</v>
      </c>
      <c r="H31" s="8" t="n">
        <v>0.0912</v>
      </c>
      <c r="I31" s="8" t="n">
        <v>0.051</v>
      </c>
      <c r="J31" s="7" t="n">
        <v>135</v>
      </c>
      <c r="K31" s="5" t="n">
        <v>8</v>
      </c>
      <c r="L31" s="5" t="n">
        <v>105</v>
      </c>
      <c r="M31" s="5" t="n">
        <v>4.2</v>
      </c>
      <c r="N31" s="15" t="s">
        <v>151</v>
      </c>
      <c r="O31" s="5" t="s">
        <v>152</v>
      </c>
      <c r="P31" s="5"/>
      <c r="Q31" s="5"/>
      <c r="R31" s="7"/>
      <c r="S31" s="7"/>
      <c r="T31" s="5"/>
      <c r="U31" s="6"/>
      <c r="V31" s="7"/>
      <c r="W31" s="5"/>
      <c r="X31" s="7"/>
      <c r="Y31" s="7"/>
      <c r="Z31" s="7"/>
      <c r="AA31" s="10"/>
      <c r="AB31" s="11"/>
      <c r="AC31" s="10"/>
      <c r="AD31" s="12"/>
      <c r="AE31" s="12"/>
      <c r="AF31" s="12"/>
      <c r="AG31" s="7"/>
      <c r="AH31" s="7"/>
      <c r="AI31" s="5" t="s">
        <v>153</v>
      </c>
    </row>
    <row r="32" customFormat="false" ht="15" hidden="false" customHeight="false" outlineLevel="0" collapsed="false">
      <c r="A32" s="5" t="s">
        <v>138</v>
      </c>
      <c r="B32" s="5" t="s">
        <v>154</v>
      </c>
      <c r="C32" s="5" t="s">
        <v>155</v>
      </c>
      <c r="D32" s="5" t="s">
        <v>138</v>
      </c>
      <c r="E32" s="5" t="s">
        <v>60</v>
      </c>
      <c r="F32" s="6" t="n">
        <v>25074.51</v>
      </c>
      <c r="G32" s="7" t="n">
        <v>115</v>
      </c>
      <c r="H32" s="8" t="n">
        <v>0.1107</v>
      </c>
      <c r="I32" s="8" t="n">
        <v>-0.0336</v>
      </c>
      <c r="J32" s="7" t="n">
        <v>44</v>
      </c>
      <c r="K32" s="5" t="n">
        <v>29</v>
      </c>
      <c r="L32" s="5" t="n">
        <v>167</v>
      </c>
      <c r="M32" s="5" t="n">
        <v>3.9</v>
      </c>
      <c r="N32" s="9" t="s">
        <v>54</v>
      </c>
      <c r="O32" s="5"/>
      <c r="P32" s="5"/>
      <c r="Q32" s="5"/>
      <c r="R32" s="7"/>
      <c r="S32" s="7"/>
      <c r="T32" s="5"/>
      <c r="U32" s="6"/>
      <c r="V32" s="7"/>
      <c r="W32" s="5"/>
      <c r="X32" s="7"/>
      <c r="Y32" s="7"/>
      <c r="Z32" s="7"/>
      <c r="AA32" s="10"/>
      <c r="AB32" s="11"/>
      <c r="AC32" s="10"/>
      <c r="AD32" s="12"/>
      <c r="AE32" s="12"/>
      <c r="AF32" s="12"/>
      <c r="AG32" s="7"/>
      <c r="AH32" s="7"/>
      <c r="AI32" s="5" t="s">
        <v>156</v>
      </c>
    </row>
    <row r="33" customFormat="false" ht="15" hidden="false" customHeight="false" outlineLevel="0" collapsed="false">
      <c r="A33" s="5" t="s">
        <v>138</v>
      </c>
      <c r="B33" s="5" t="s">
        <v>157</v>
      </c>
      <c r="C33" s="5"/>
      <c r="D33" s="5" t="s">
        <v>138</v>
      </c>
      <c r="E33" s="5" t="s">
        <v>60</v>
      </c>
      <c r="F33" s="6" t="n">
        <v>24118.52</v>
      </c>
      <c r="G33" s="7" t="n">
        <v>1219</v>
      </c>
      <c r="H33" s="8" t="n">
        <v>1.9504</v>
      </c>
      <c r="I33" s="8" t="n">
        <v>1.7332</v>
      </c>
      <c r="J33" s="7" t="n">
        <v>78</v>
      </c>
      <c r="K33" s="5" t="n">
        <v>6</v>
      </c>
      <c r="L33" s="5" t="n">
        <v>5</v>
      </c>
      <c r="M33" s="5" t="n">
        <v>3.9</v>
      </c>
      <c r="N33" s="9" t="s">
        <v>54</v>
      </c>
      <c r="O33" s="5"/>
      <c r="P33" s="5"/>
      <c r="Q33" s="5"/>
      <c r="R33" s="7"/>
      <c r="S33" s="7"/>
      <c r="T33" s="5"/>
      <c r="U33" s="6"/>
      <c r="V33" s="7"/>
      <c r="W33" s="5"/>
      <c r="X33" s="7"/>
      <c r="Y33" s="7"/>
      <c r="Z33" s="7"/>
      <c r="AA33" s="10"/>
      <c r="AB33" s="11"/>
      <c r="AC33" s="10"/>
      <c r="AD33" s="12"/>
      <c r="AE33" s="12"/>
      <c r="AF33" s="12"/>
      <c r="AG33" s="7"/>
      <c r="AH33" s="7"/>
      <c r="AI33" s="5" t="s">
        <v>158</v>
      </c>
    </row>
    <row r="34" customFormat="false" ht="15" hidden="false" customHeight="false" outlineLevel="0" collapsed="false">
      <c r="A34" s="5" t="s">
        <v>138</v>
      </c>
      <c r="B34" s="5" t="s">
        <v>159</v>
      </c>
      <c r="C34" s="5" t="s">
        <v>160</v>
      </c>
      <c r="D34" s="5" t="s">
        <v>138</v>
      </c>
      <c r="E34" s="5" t="s">
        <v>53</v>
      </c>
      <c r="F34" s="6" t="n">
        <v>21317.78</v>
      </c>
      <c r="G34" s="7" t="n">
        <v>3019</v>
      </c>
      <c r="H34" s="8" t="n">
        <v>-0.1999</v>
      </c>
      <c r="I34" s="8" t="n">
        <v>-0.2269</v>
      </c>
      <c r="J34" s="7" t="n">
        <v>253</v>
      </c>
      <c r="K34" s="5" t="n">
        <v>50</v>
      </c>
      <c r="L34" s="5" t="n">
        <v>60</v>
      </c>
      <c r="M34" s="5" t="n">
        <v>4.8</v>
      </c>
      <c r="N34" s="9" t="s">
        <v>54</v>
      </c>
      <c r="O34" s="5"/>
      <c r="P34" s="5"/>
      <c r="Q34" s="5"/>
      <c r="R34" s="7"/>
      <c r="S34" s="7"/>
      <c r="T34" s="5"/>
      <c r="U34" s="6"/>
      <c r="V34" s="7"/>
      <c r="W34" s="5"/>
      <c r="X34" s="7"/>
      <c r="Y34" s="7"/>
      <c r="Z34" s="7"/>
      <c r="AA34" s="10"/>
      <c r="AB34" s="11"/>
      <c r="AC34" s="10"/>
      <c r="AD34" s="12"/>
      <c r="AE34" s="12"/>
      <c r="AF34" s="12"/>
      <c r="AG34" s="7"/>
      <c r="AH34" s="7"/>
      <c r="AI34" s="5" t="s">
        <v>161</v>
      </c>
    </row>
    <row r="35" customFormat="false" ht="15" hidden="false" customHeight="false" outlineLevel="0" collapsed="false">
      <c r="A35" s="5" t="s">
        <v>138</v>
      </c>
      <c r="B35" s="5" t="s">
        <v>162</v>
      </c>
      <c r="C35" s="5" t="s">
        <v>163</v>
      </c>
      <c r="D35" s="5" t="s">
        <v>138</v>
      </c>
      <c r="E35" s="5" t="s">
        <v>60</v>
      </c>
      <c r="F35" s="6" t="n">
        <v>21251.84</v>
      </c>
      <c r="G35" s="7" t="n">
        <v>123</v>
      </c>
      <c r="H35" s="8" t="n">
        <v>0.1201</v>
      </c>
      <c r="I35" s="8" t="n">
        <v>-0.0752</v>
      </c>
      <c r="J35" s="7" t="n">
        <v>131</v>
      </c>
      <c r="K35" s="5" t="n">
        <v>10</v>
      </c>
      <c r="L35" s="5" t="n">
        <v>30</v>
      </c>
      <c r="M35" s="5" t="n">
        <v>3.2</v>
      </c>
      <c r="N35" s="9" t="s">
        <v>54</v>
      </c>
      <c r="O35" s="5"/>
      <c r="P35" s="5"/>
      <c r="Q35" s="5"/>
      <c r="R35" s="7"/>
      <c r="S35" s="7"/>
      <c r="T35" s="5"/>
      <c r="U35" s="6"/>
      <c r="V35" s="7"/>
      <c r="W35" s="5"/>
      <c r="X35" s="7"/>
      <c r="Y35" s="7"/>
      <c r="Z35" s="7"/>
      <c r="AA35" s="10"/>
      <c r="AB35" s="11"/>
      <c r="AC35" s="10"/>
      <c r="AD35" s="12"/>
      <c r="AE35" s="12"/>
      <c r="AF35" s="12"/>
      <c r="AG35" s="7"/>
      <c r="AH35" s="7"/>
      <c r="AI35" s="5" t="s">
        <v>164</v>
      </c>
    </row>
    <row r="36" customFormat="false" ht="15" hidden="false" customHeight="false" outlineLevel="0" collapsed="false">
      <c r="A36" s="5" t="s">
        <v>138</v>
      </c>
      <c r="B36" s="5" t="s">
        <v>165</v>
      </c>
      <c r="C36" s="5" t="s">
        <v>166</v>
      </c>
      <c r="D36" s="5" t="s">
        <v>138</v>
      </c>
      <c r="E36" s="5" t="s">
        <v>53</v>
      </c>
      <c r="F36" s="6" t="n">
        <v>21072.67</v>
      </c>
      <c r="G36" s="7" t="n">
        <v>2545</v>
      </c>
      <c r="H36" s="8" t="n">
        <v>0.3437</v>
      </c>
      <c r="I36" s="8" t="n">
        <v>0.2241</v>
      </c>
      <c r="J36" s="7" t="n">
        <v>420</v>
      </c>
      <c r="K36" s="5" t="n">
        <v>252</v>
      </c>
      <c r="L36" s="5" t="n">
        <v>773</v>
      </c>
      <c r="M36" s="5" t="n">
        <v>4.9</v>
      </c>
      <c r="N36" s="9" t="s">
        <v>54</v>
      </c>
      <c r="O36" s="5"/>
      <c r="P36" s="5"/>
      <c r="Q36" s="5"/>
      <c r="R36" s="7"/>
      <c r="S36" s="7"/>
      <c r="T36" s="5"/>
      <c r="U36" s="6"/>
      <c r="V36" s="7"/>
      <c r="W36" s="5"/>
      <c r="X36" s="7"/>
      <c r="Y36" s="7"/>
      <c r="Z36" s="7"/>
      <c r="AA36" s="10"/>
      <c r="AB36" s="11"/>
      <c r="AC36" s="10"/>
      <c r="AD36" s="12"/>
      <c r="AE36" s="12"/>
      <c r="AF36" s="12"/>
      <c r="AG36" s="7"/>
      <c r="AH36" s="7"/>
      <c r="AI36" s="5" t="s">
        <v>167</v>
      </c>
    </row>
    <row r="37" customFormat="false" ht="15" hidden="false" customHeight="false" outlineLevel="0" collapsed="false">
      <c r="A37" s="5" t="s">
        <v>138</v>
      </c>
      <c r="B37" s="5" t="s">
        <v>168</v>
      </c>
      <c r="C37" s="5" t="s">
        <v>169</v>
      </c>
      <c r="D37" s="5" t="s">
        <v>138</v>
      </c>
      <c r="E37" s="5" t="s">
        <v>53</v>
      </c>
      <c r="F37" s="6" t="n">
        <v>21040.77</v>
      </c>
      <c r="G37" s="7" t="n">
        <v>1299</v>
      </c>
      <c r="H37" s="8" t="n">
        <v>0.0846</v>
      </c>
      <c r="I37" s="8" t="n">
        <v>-0.0069</v>
      </c>
      <c r="J37" s="7" t="n">
        <v>54</v>
      </c>
      <c r="K37" s="5" t="n">
        <v>40</v>
      </c>
      <c r="L37" s="5" t="n">
        <v>110</v>
      </c>
      <c r="M37" s="5" t="n">
        <v>4.6</v>
      </c>
      <c r="N37" s="9" t="s">
        <v>54</v>
      </c>
      <c r="O37" s="5"/>
      <c r="P37" s="5"/>
      <c r="Q37" s="5"/>
      <c r="R37" s="7"/>
      <c r="S37" s="7"/>
      <c r="T37" s="5"/>
      <c r="U37" s="6"/>
      <c r="V37" s="7"/>
      <c r="W37" s="5"/>
      <c r="X37" s="7"/>
      <c r="Y37" s="7"/>
      <c r="Z37" s="7"/>
      <c r="AA37" s="10"/>
      <c r="AB37" s="11"/>
      <c r="AC37" s="10"/>
      <c r="AD37" s="12"/>
      <c r="AE37" s="12"/>
      <c r="AF37" s="12"/>
      <c r="AG37" s="7"/>
      <c r="AH37" s="7"/>
      <c r="AI37" s="5" t="s">
        <v>170</v>
      </c>
    </row>
    <row r="38" customFormat="false" ht="15" hidden="false" customHeight="false" outlineLevel="0" collapsed="false">
      <c r="A38" s="5" t="s">
        <v>138</v>
      </c>
      <c r="B38" s="5" t="s">
        <v>171</v>
      </c>
      <c r="C38" s="5" t="s">
        <v>172</v>
      </c>
      <c r="D38" s="5" t="s">
        <v>89</v>
      </c>
      <c r="E38" s="5" t="s">
        <v>60</v>
      </c>
      <c r="F38" s="6" t="n">
        <v>20720.29</v>
      </c>
      <c r="G38" s="7" t="n">
        <v>1512</v>
      </c>
      <c r="H38" s="8" t="n">
        <v>1.1935</v>
      </c>
      <c r="I38" s="8" t="n">
        <v>1.2203</v>
      </c>
      <c r="J38" s="7" t="n">
        <v>488</v>
      </c>
      <c r="K38" s="5" t="n">
        <v>28</v>
      </c>
      <c r="L38" s="5" t="n">
        <v>129</v>
      </c>
      <c r="M38" s="5" t="n">
        <v>4.4</v>
      </c>
      <c r="N38" s="13" t="s">
        <v>61</v>
      </c>
      <c r="O38" s="5"/>
      <c r="P38" s="5"/>
      <c r="Q38" s="5"/>
      <c r="R38" s="7"/>
      <c r="S38" s="7"/>
      <c r="T38" s="5"/>
      <c r="U38" s="6"/>
      <c r="V38" s="7"/>
      <c r="W38" s="5"/>
      <c r="X38" s="7"/>
      <c r="Y38" s="7"/>
      <c r="Z38" s="7"/>
      <c r="AA38" s="10"/>
      <c r="AB38" s="11"/>
      <c r="AC38" s="10"/>
      <c r="AD38" s="12"/>
      <c r="AE38" s="12"/>
      <c r="AF38" s="12"/>
      <c r="AG38" s="7"/>
      <c r="AH38" s="7"/>
      <c r="AI38" s="5" t="s">
        <v>173</v>
      </c>
    </row>
    <row r="39" customFormat="false" ht="15" hidden="false" customHeight="false" outlineLevel="0" collapsed="false">
      <c r="A39" s="5" t="s">
        <v>138</v>
      </c>
      <c r="B39" s="5" t="s">
        <v>174</v>
      </c>
      <c r="C39" s="5" t="s">
        <v>175</v>
      </c>
      <c r="D39" s="5" t="s">
        <v>138</v>
      </c>
      <c r="E39" s="5" t="s">
        <v>60</v>
      </c>
      <c r="F39" s="6" t="n">
        <v>20468.88</v>
      </c>
      <c r="G39" s="7" t="n">
        <v>296</v>
      </c>
      <c r="H39" s="8" t="n">
        <v>0.1889</v>
      </c>
      <c r="I39" s="8" t="n">
        <v>0.1255</v>
      </c>
      <c r="J39" s="7" t="n">
        <v>108</v>
      </c>
      <c r="K39" s="5" t="n">
        <v>14</v>
      </c>
      <c r="L39" s="5" t="n">
        <v>25</v>
      </c>
      <c r="M39" s="5" t="n">
        <v>4.1</v>
      </c>
      <c r="N39" s="9" t="s">
        <v>54</v>
      </c>
      <c r="O39" s="5"/>
      <c r="P39" s="5" t="s">
        <v>176</v>
      </c>
      <c r="Q39" s="14" t="s">
        <v>177</v>
      </c>
      <c r="R39" s="7" t="n">
        <v>2077</v>
      </c>
      <c r="S39" s="7" t="n">
        <v>120</v>
      </c>
      <c r="T39" s="5" t="s">
        <v>178</v>
      </c>
      <c r="U39" s="6" t="n">
        <v>234890.89</v>
      </c>
      <c r="V39" s="7" t="n">
        <v>3967</v>
      </c>
      <c r="W39" s="5" t="n">
        <v>32</v>
      </c>
      <c r="X39" s="7" t="n">
        <v>477</v>
      </c>
      <c r="Y39" s="7" t="n">
        <v>923</v>
      </c>
      <c r="Z39" s="7" t="n">
        <v>180</v>
      </c>
      <c r="AA39" s="10" t="n">
        <v>4.98</v>
      </c>
      <c r="AB39" s="11" t="n">
        <v>112.64</v>
      </c>
      <c r="AC39" s="10" t="n">
        <v>64.11</v>
      </c>
      <c r="AD39" s="12" t="n">
        <v>0.67</v>
      </c>
      <c r="AE39" s="12" t="n">
        <v>0.88</v>
      </c>
      <c r="AF39" s="12" t="n">
        <v>1</v>
      </c>
      <c r="AG39" s="7" t="n">
        <v>39</v>
      </c>
      <c r="AH39" s="7" t="n">
        <v>2193</v>
      </c>
      <c r="AI39" s="5" t="s">
        <v>179</v>
      </c>
    </row>
    <row r="40" customFormat="false" ht="15" hidden="false" customHeight="false" outlineLevel="0" collapsed="false">
      <c r="A40" s="5" t="s">
        <v>138</v>
      </c>
      <c r="B40" s="5" t="s">
        <v>180</v>
      </c>
      <c r="C40" s="5"/>
      <c r="D40" s="5" t="s">
        <v>138</v>
      </c>
      <c r="E40" s="5" t="s">
        <v>60</v>
      </c>
      <c r="F40" s="6" t="n">
        <v>20262.29</v>
      </c>
      <c r="G40" s="7" t="n">
        <v>116</v>
      </c>
      <c r="H40" s="8" t="n">
        <v>-0.0717</v>
      </c>
      <c r="I40" s="8" t="n">
        <v>-0.1888</v>
      </c>
      <c r="J40" s="7" t="n">
        <v>29</v>
      </c>
      <c r="K40" s="5" t="n">
        <v>13</v>
      </c>
      <c r="L40" s="5" t="n">
        <v>14</v>
      </c>
      <c r="M40" s="5" t="n">
        <v>4.3</v>
      </c>
      <c r="N40" s="9" t="s">
        <v>54</v>
      </c>
      <c r="O40" s="5"/>
      <c r="P40" s="5"/>
      <c r="Q40" s="5"/>
      <c r="R40" s="7"/>
      <c r="S40" s="7"/>
      <c r="T40" s="5"/>
      <c r="U40" s="6"/>
      <c r="V40" s="7"/>
      <c r="W40" s="5"/>
      <c r="X40" s="7"/>
      <c r="Y40" s="7"/>
      <c r="Z40" s="7"/>
      <c r="AA40" s="10"/>
      <c r="AB40" s="11"/>
      <c r="AC40" s="10"/>
      <c r="AD40" s="12"/>
      <c r="AE40" s="12"/>
      <c r="AF40" s="12"/>
      <c r="AG40" s="7"/>
      <c r="AH40" s="7"/>
      <c r="AI40" s="5" t="s">
        <v>181</v>
      </c>
    </row>
    <row r="41" customFormat="false" ht="15" hidden="false" customHeight="false" outlineLevel="0" collapsed="false">
      <c r="A41" s="5" t="s">
        <v>138</v>
      </c>
      <c r="B41" s="5" t="s">
        <v>182</v>
      </c>
      <c r="C41" s="5" t="s">
        <v>183</v>
      </c>
      <c r="D41" s="5" t="s">
        <v>138</v>
      </c>
      <c r="E41" s="5" t="s">
        <v>60</v>
      </c>
      <c r="F41" s="6" t="n">
        <v>20184.53</v>
      </c>
      <c r="G41" s="7" t="n">
        <v>1286</v>
      </c>
      <c r="H41" s="8" t="n">
        <v>1.2264</v>
      </c>
      <c r="I41" s="8" t="n">
        <v>1.3727</v>
      </c>
      <c r="J41" s="7" t="n">
        <v>0</v>
      </c>
      <c r="K41" s="5" t="n">
        <v>7</v>
      </c>
      <c r="L41" s="5" t="n">
        <v>44</v>
      </c>
      <c r="M41" s="5" t="n">
        <v>4.6</v>
      </c>
      <c r="N41" s="9" t="s">
        <v>54</v>
      </c>
      <c r="O41" s="5"/>
      <c r="P41" s="5"/>
      <c r="Q41" s="5"/>
      <c r="R41" s="7"/>
      <c r="S41" s="7"/>
      <c r="T41" s="5"/>
      <c r="U41" s="6"/>
      <c r="V41" s="7"/>
      <c r="W41" s="5"/>
      <c r="X41" s="7"/>
      <c r="Y41" s="7"/>
      <c r="Z41" s="7"/>
      <c r="AA41" s="10"/>
      <c r="AB41" s="11"/>
      <c r="AC41" s="10"/>
      <c r="AD41" s="12"/>
      <c r="AE41" s="12"/>
      <c r="AF41" s="12"/>
      <c r="AG41" s="7"/>
      <c r="AH41" s="7"/>
      <c r="AI41" s="5" t="s">
        <v>184</v>
      </c>
    </row>
    <row r="42" customFormat="false" ht="15" hidden="false" customHeight="false" outlineLevel="0" collapsed="false">
      <c r="A42" s="5" t="s">
        <v>138</v>
      </c>
      <c r="B42" s="5" t="s">
        <v>185</v>
      </c>
      <c r="C42" s="5" t="s">
        <v>186</v>
      </c>
      <c r="D42" s="5" t="s">
        <v>138</v>
      </c>
      <c r="E42" s="5" t="s">
        <v>60</v>
      </c>
      <c r="F42" s="6" t="n">
        <v>19801.14</v>
      </c>
      <c r="G42" s="7" t="n">
        <v>345</v>
      </c>
      <c r="H42" s="8" t="n">
        <v>0.0838</v>
      </c>
      <c r="I42" s="8" t="n">
        <v>-0.1062</v>
      </c>
      <c r="J42" s="7" t="n">
        <v>138</v>
      </c>
      <c r="K42" s="5" t="n">
        <v>38</v>
      </c>
      <c r="L42" s="5" t="n">
        <v>65</v>
      </c>
      <c r="M42" s="5" t="n">
        <v>3.8</v>
      </c>
      <c r="N42" s="9" t="s">
        <v>54</v>
      </c>
      <c r="O42" s="5"/>
      <c r="P42" s="5" t="s">
        <v>187</v>
      </c>
      <c r="Q42" s="14" t="s">
        <v>188</v>
      </c>
      <c r="R42" s="7" t="n">
        <v>1552</v>
      </c>
      <c r="S42" s="7" t="n">
        <v>355</v>
      </c>
      <c r="T42" s="5" t="s">
        <v>189</v>
      </c>
      <c r="U42" s="6" t="n">
        <v>261110.58</v>
      </c>
      <c r="V42" s="7" t="n">
        <v>7540</v>
      </c>
      <c r="W42" s="5" t="n">
        <v>99</v>
      </c>
      <c r="X42" s="7" t="n">
        <v>878</v>
      </c>
      <c r="Y42" s="7" t="n">
        <v>1524</v>
      </c>
      <c r="Z42" s="7" t="n">
        <v>370</v>
      </c>
      <c r="AA42" s="10" t="n">
        <v>2.63</v>
      </c>
      <c r="AB42" s="11" t="n">
        <v>114.65</v>
      </c>
      <c r="AC42" s="10" t="n">
        <v>36.57</v>
      </c>
      <c r="AD42" s="12" t="n">
        <v>0.76</v>
      </c>
      <c r="AE42" s="12" t="n">
        <v>0.87</v>
      </c>
      <c r="AF42" s="12" t="n">
        <v>1</v>
      </c>
      <c r="AG42" s="7" t="n">
        <v>36</v>
      </c>
      <c r="AH42" s="7" t="n">
        <v>2152</v>
      </c>
      <c r="AI42" s="5" t="s">
        <v>190</v>
      </c>
    </row>
    <row r="43" customFormat="false" ht="15" hidden="false" customHeight="false" outlineLevel="0" collapsed="false">
      <c r="A43" s="5" t="s">
        <v>138</v>
      </c>
      <c r="B43" s="5" t="s">
        <v>191</v>
      </c>
      <c r="C43" s="5" t="s">
        <v>192</v>
      </c>
      <c r="D43" s="5" t="s">
        <v>59</v>
      </c>
      <c r="E43" s="5" t="s">
        <v>60</v>
      </c>
      <c r="F43" s="6" t="n">
        <v>19036.98</v>
      </c>
      <c r="G43" s="7" t="n">
        <v>934</v>
      </c>
      <c r="H43" s="8" t="n">
        <v>2.8139</v>
      </c>
      <c r="I43" s="8" t="n">
        <v>3.3241</v>
      </c>
      <c r="J43" s="7" t="n">
        <v>45</v>
      </c>
      <c r="K43" s="5" t="n">
        <v>26</v>
      </c>
      <c r="L43" s="5" t="n">
        <v>3152</v>
      </c>
      <c r="M43" s="5" t="n">
        <v>4</v>
      </c>
      <c r="N43" s="15" t="s">
        <v>151</v>
      </c>
      <c r="O43" s="5" t="s">
        <v>193</v>
      </c>
      <c r="P43" s="5"/>
      <c r="Q43" s="5"/>
      <c r="R43" s="7"/>
      <c r="S43" s="7"/>
      <c r="T43" s="5"/>
      <c r="U43" s="6"/>
      <c r="V43" s="7"/>
      <c r="W43" s="5"/>
      <c r="X43" s="7"/>
      <c r="Y43" s="7"/>
      <c r="Z43" s="7"/>
      <c r="AA43" s="10"/>
      <c r="AB43" s="11"/>
      <c r="AC43" s="10"/>
      <c r="AD43" s="12"/>
      <c r="AE43" s="12"/>
      <c r="AF43" s="12"/>
      <c r="AG43" s="7"/>
      <c r="AH43" s="7"/>
      <c r="AI43" s="5" t="s">
        <v>194</v>
      </c>
    </row>
    <row r="44" customFormat="false" ht="15" hidden="false" customHeight="false" outlineLevel="0" collapsed="false">
      <c r="A44" s="5" t="s">
        <v>138</v>
      </c>
      <c r="B44" s="5" t="s">
        <v>195</v>
      </c>
      <c r="C44" s="5" t="s">
        <v>196</v>
      </c>
      <c r="D44" s="5" t="s">
        <v>138</v>
      </c>
      <c r="E44" s="5" t="s">
        <v>60</v>
      </c>
      <c r="F44" s="6" t="n">
        <v>18961.4</v>
      </c>
      <c r="G44" s="7" t="n">
        <v>411</v>
      </c>
      <c r="H44" s="8" t="n">
        <v>1.1644</v>
      </c>
      <c r="I44" s="8" t="n">
        <v>0.9855</v>
      </c>
      <c r="J44" s="7" t="n">
        <v>261</v>
      </c>
      <c r="K44" s="5" t="n">
        <v>11</v>
      </c>
      <c r="L44" s="5" t="n">
        <v>19</v>
      </c>
      <c r="M44" s="5" t="n">
        <v>4.3</v>
      </c>
      <c r="N44" s="9" t="s">
        <v>54</v>
      </c>
      <c r="O44" s="5"/>
      <c r="P44" s="5" t="s">
        <v>197</v>
      </c>
      <c r="Q44" s="14" t="s">
        <v>198</v>
      </c>
      <c r="R44" s="7" t="n">
        <v>96364</v>
      </c>
      <c r="S44" s="7" t="n">
        <v>618</v>
      </c>
      <c r="T44" s="5" t="s">
        <v>199</v>
      </c>
      <c r="U44" s="6" t="n">
        <v>69954.25</v>
      </c>
      <c r="V44" s="7" t="n">
        <v>3550</v>
      </c>
      <c r="W44" s="5" t="n">
        <v>83</v>
      </c>
      <c r="X44" s="7" t="n">
        <v>625</v>
      </c>
      <c r="Y44" s="7" t="n">
        <v>1266</v>
      </c>
      <c r="Z44" s="7" t="n">
        <v>69</v>
      </c>
      <c r="AA44" s="10" t="n">
        <v>2.4</v>
      </c>
      <c r="AB44" s="11" t="n">
        <v>253.5</v>
      </c>
      <c r="AC44" s="10" t="n">
        <v>19.8</v>
      </c>
      <c r="AD44" s="12" t="n">
        <v>0.73</v>
      </c>
      <c r="AE44" s="12" t="n">
        <v>0.97</v>
      </c>
      <c r="AF44" s="12" t="n">
        <v>1</v>
      </c>
      <c r="AG44" s="7" t="n">
        <v>28</v>
      </c>
      <c r="AH44" s="7" t="n">
        <v>1935</v>
      </c>
      <c r="AI44" s="5" t="s">
        <v>200</v>
      </c>
    </row>
    <row r="45" customFormat="false" ht="15" hidden="false" customHeight="false" outlineLevel="0" collapsed="false">
      <c r="A45" s="5" t="s">
        <v>138</v>
      </c>
      <c r="B45" s="5" t="s">
        <v>201</v>
      </c>
      <c r="C45" s="5" t="s">
        <v>202</v>
      </c>
      <c r="D45" s="5" t="s">
        <v>138</v>
      </c>
      <c r="E45" s="5" t="s">
        <v>53</v>
      </c>
      <c r="F45" s="6" t="n">
        <v>18900.14</v>
      </c>
      <c r="G45" s="7" t="n">
        <v>2342</v>
      </c>
      <c r="H45" s="8" t="n">
        <v>0.8616</v>
      </c>
      <c r="I45" s="8" t="n">
        <v>0.8441</v>
      </c>
      <c r="J45" s="7" t="n">
        <v>109</v>
      </c>
      <c r="K45" s="5" t="n">
        <v>9</v>
      </c>
      <c r="L45" s="5" t="n">
        <v>9</v>
      </c>
      <c r="M45" s="5" t="n">
        <v>4.8</v>
      </c>
      <c r="N45" s="9" t="s">
        <v>54</v>
      </c>
      <c r="O45" s="5"/>
      <c r="P45" s="5"/>
      <c r="Q45" s="5"/>
      <c r="R45" s="7"/>
      <c r="S45" s="7"/>
      <c r="T45" s="5"/>
      <c r="U45" s="6"/>
      <c r="V45" s="7"/>
      <c r="W45" s="5"/>
      <c r="X45" s="7"/>
      <c r="Y45" s="7"/>
      <c r="Z45" s="7"/>
      <c r="AA45" s="10"/>
      <c r="AB45" s="11"/>
      <c r="AC45" s="10"/>
      <c r="AD45" s="12"/>
      <c r="AE45" s="12"/>
      <c r="AF45" s="12"/>
      <c r="AG45" s="7"/>
      <c r="AH45" s="7"/>
      <c r="AI45" s="5" t="s">
        <v>203</v>
      </c>
    </row>
    <row r="46" customFormat="false" ht="15" hidden="false" customHeight="false" outlineLevel="0" collapsed="false">
      <c r="A46" s="5" t="s">
        <v>138</v>
      </c>
      <c r="B46" s="5" t="s">
        <v>204</v>
      </c>
      <c r="C46" s="5" t="s">
        <v>205</v>
      </c>
      <c r="D46" s="5" t="s">
        <v>138</v>
      </c>
      <c r="E46" s="5" t="s">
        <v>60</v>
      </c>
      <c r="F46" s="6" t="n">
        <v>18331.55</v>
      </c>
      <c r="G46" s="7" t="n">
        <v>600</v>
      </c>
      <c r="H46" s="8" t="n">
        <v>31.5901</v>
      </c>
      <c r="I46" s="8" t="n">
        <v>29</v>
      </c>
      <c r="J46" s="7" t="n">
        <v>77</v>
      </c>
      <c r="K46" s="5" t="n">
        <v>11</v>
      </c>
      <c r="L46" s="5" t="n">
        <v>874</v>
      </c>
      <c r="M46" s="5" t="n">
        <v>4.5</v>
      </c>
      <c r="N46" s="15" t="s">
        <v>151</v>
      </c>
      <c r="O46" s="5" t="s">
        <v>206</v>
      </c>
      <c r="P46" s="5"/>
      <c r="Q46" s="5"/>
      <c r="R46" s="7"/>
      <c r="S46" s="7"/>
      <c r="T46" s="5"/>
      <c r="U46" s="6"/>
      <c r="V46" s="7"/>
      <c r="W46" s="5"/>
      <c r="X46" s="7"/>
      <c r="Y46" s="7"/>
      <c r="Z46" s="7"/>
      <c r="AA46" s="10"/>
      <c r="AB46" s="11"/>
      <c r="AC46" s="10"/>
      <c r="AD46" s="12"/>
      <c r="AE46" s="12"/>
      <c r="AF46" s="12"/>
      <c r="AG46" s="7"/>
      <c r="AH46" s="7"/>
      <c r="AI46" s="5" t="s">
        <v>207</v>
      </c>
    </row>
    <row r="47" customFormat="false" ht="15" hidden="false" customHeight="false" outlineLevel="0" collapsed="false">
      <c r="A47" s="5" t="s">
        <v>138</v>
      </c>
      <c r="B47" s="5" t="s">
        <v>208</v>
      </c>
      <c r="C47" s="5" t="s">
        <v>209</v>
      </c>
      <c r="D47" s="5" t="s">
        <v>210</v>
      </c>
      <c r="E47" s="5" t="s">
        <v>60</v>
      </c>
      <c r="F47" s="6" t="n">
        <v>17894.92</v>
      </c>
      <c r="G47" s="7" t="n">
        <v>771</v>
      </c>
      <c r="H47" s="8" t="n">
        <v>-0.5193</v>
      </c>
      <c r="I47" s="8" t="n">
        <v>-0.589</v>
      </c>
      <c r="J47" s="7" t="n">
        <v>100</v>
      </c>
      <c r="K47" s="5" t="n">
        <v>11</v>
      </c>
      <c r="L47" s="5" t="n">
        <v>467</v>
      </c>
      <c r="M47" s="5" t="n">
        <v>4.2</v>
      </c>
      <c r="N47" s="15" t="s">
        <v>151</v>
      </c>
      <c r="O47" s="5" t="s">
        <v>211</v>
      </c>
      <c r="P47" s="5"/>
      <c r="Q47" s="5"/>
      <c r="R47" s="7"/>
      <c r="S47" s="7"/>
      <c r="T47" s="5"/>
      <c r="U47" s="6"/>
      <c r="V47" s="7"/>
      <c r="W47" s="5"/>
      <c r="X47" s="7"/>
      <c r="Y47" s="7"/>
      <c r="Z47" s="7"/>
      <c r="AA47" s="10"/>
      <c r="AB47" s="11"/>
      <c r="AC47" s="10"/>
      <c r="AD47" s="12"/>
      <c r="AE47" s="12"/>
      <c r="AF47" s="12"/>
      <c r="AG47" s="7"/>
      <c r="AH47" s="7"/>
      <c r="AI47" s="5" t="s">
        <v>212</v>
      </c>
    </row>
    <row r="48" customFormat="false" ht="15" hidden="false" customHeight="false" outlineLevel="0" collapsed="false">
      <c r="A48" s="5" t="s">
        <v>138</v>
      </c>
      <c r="B48" s="5" t="s">
        <v>213</v>
      </c>
      <c r="C48" s="5" t="s">
        <v>214</v>
      </c>
      <c r="D48" s="5" t="s">
        <v>59</v>
      </c>
      <c r="E48" s="5" t="s">
        <v>60</v>
      </c>
      <c r="F48" s="6" t="n">
        <v>17795.55</v>
      </c>
      <c r="G48" s="7" t="n">
        <v>257</v>
      </c>
      <c r="H48" s="8" t="n">
        <v>0.0514</v>
      </c>
      <c r="I48" s="8" t="n">
        <v>-0.0688</v>
      </c>
      <c r="J48" s="7" t="n">
        <v>64</v>
      </c>
      <c r="K48" s="5" t="n">
        <v>62</v>
      </c>
      <c r="L48" s="5" t="n">
        <v>4531</v>
      </c>
      <c r="M48" s="5" t="n">
        <v>4.2</v>
      </c>
      <c r="N48" s="15" t="s">
        <v>151</v>
      </c>
      <c r="O48" s="5" t="s">
        <v>215</v>
      </c>
      <c r="P48" s="5"/>
      <c r="Q48" s="5"/>
      <c r="R48" s="7"/>
      <c r="S48" s="7"/>
      <c r="T48" s="5"/>
      <c r="U48" s="6"/>
      <c r="V48" s="7"/>
      <c r="W48" s="5"/>
      <c r="X48" s="7"/>
      <c r="Y48" s="7"/>
      <c r="Z48" s="7"/>
      <c r="AA48" s="10"/>
      <c r="AB48" s="11"/>
      <c r="AC48" s="10"/>
      <c r="AD48" s="12"/>
      <c r="AE48" s="12"/>
      <c r="AF48" s="12"/>
      <c r="AG48" s="7"/>
      <c r="AH48" s="7"/>
      <c r="AI48" s="5" t="s">
        <v>216</v>
      </c>
    </row>
    <row r="49" customFormat="false" ht="15" hidden="false" customHeight="false" outlineLevel="0" collapsed="false">
      <c r="A49" s="5" t="s">
        <v>138</v>
      </c>
      <c r="B49" s="5" t="s">
        <v>217</v>
      </c>
      <c r="C49" s="5" t="s">
        <v>218</v>
      </c>
      <c r="D49" s="5" t="s">
        <v>138</v>
      </c>
      <c r="E49" s="5" t="s">
        <v>53</v>
      </c>
      <c r="F49" s="6" t="n">
        <v>17629.34</v>
      </c>
      <c r="G49" s="7" t="n">
        <v>1999</v>
      </c>
      <c r="H49" s="8" t="n">
        <v>0.6299</v>
      </c>
      <c r="I49" s="8" t="n">
        <v>0.4454</v>
      </c>
      <c r="J49" s="7" t="n">
        <v>131</v>
      </c>
      <c r="K49" s="5" t="n">
        <v>32</v>
      </c>
      <c r="L49" s="5" t="n">
        <v>77</v>
      </c>
      <c r="M49" s="5" t="n">
        <v>4.5</v>
      </c>
      <c r="N49" s="9" t="s">
        <v>54</v>
      </c>
      <c r="O49" s="5"/>
      <c r="P49" s="5"/>
      <c r="Q49" s="5"/>
      <c r="R49" s="7"/>
      <c r="S49" s="7"/>
      <c r="T49" s="5"/>
      <c r="U49" s="6"/>
      <c r="V49" s="7"/>
      <c r="W49" s="5"/>
      <c r="X49" s="7"/>
      <c r="Y49" s="7"/>
      <c r="Z49" s="7"/>
      <c r="AA49" s="10"/>
      <c r="AB49" s="11"/>
      <c r="AC49" s="10"/>
      <c r="AD49" s="12"/>
      <c r="AE49" s="12"/>
      <c r="AF49" s="12"/>
      <c r="AG49" s="7"/>
      <c r="AH49" s="7"/>
      <c r="AI49" s="5" t="s">
        <v>219</v>
      </c>
    </row>
    <row r="50" customFormat="false" ht="15" hidden="false" customHeight="false" outlineLevel="0" collapsed="false">
      <c r="A50" s="5" t="s">
        <v>138</v>
      </c>
      <c r="B50" s="5" t="s">
        <v>220</v>
      </c>
      <c r="C50" s="5" t="s">
        <v>220</v>
      </c>
      <c r="D50" s="5" t="s">
        <v>138</v>
      </c>
      <c r="E50" s="5" t="s">
        <v>60</v>
      </c>
      <c r="F50" s="6" t="n">
        <v>16931.43</v>
      </c>
      <c r="G50" s="7" t="n">
        <v>917</v>
      </c>
      <c r="H50" s="8" t="n">
        <v>1.7612</v>
      </c>
      <c r="I50" s="8" t="n">
        <v>1.3818</v>
      </c>
      <c r="J50" s="7" t="n">
        <v>619</v>
      </c>
      <c r="K50" s="5" t="n">
        <v>24</v>
      </c>
      <c r="L50" s="5" t="n">
        <v>87</v>
      </c>
      <c r="M50" s="5" t="n">
        <v>4.8</v>
      </c>
      <c r="N50" s="9" t="s">
        <v>54</v>
      </c>
      <c r="O50" s="5"/>
      <c r="P50" s="5" t="s">
        <v>221</v>
      </c>
      <c r="Q50" s="14" t="s">
        <v>222</v>
      </c>
      <c r="R50" s="7" t="n">
        <v>107102</v>
      </c>
      <c r="S50" s="7" t="n">
        <v>2300</v>
      </c>
      <c r="T50" s="5" t="s">
        <v>223</v>
      </c>
      <c r="U50" s="6" t="n">
        <v>664500.98</v>
      </c>
      <c r="V50" s="7" t="n">
        <v>81937</v>
      </c>
      <c r="W50" s="5" t="n">
        <v>2440</v>
      </c>
      <c r="X50" s="7" t="n">
        <v>120</v>
      </c>
      <c r="Y50" s="7" t="n">
        <v>277</v>
      </c>
      <c r="Z50" s="7" t="n">
        <v>913</v>
      </c>
      <c r="AA50" s="10" t="n">
        <v>0.45</v>
      </c>
      <c r="AB50" s="11" t="n">
        <v>52</v>
      </c>
      <c r="AC50" s="10" t="n">
        <v>11.36</v>
      </c>
      <c r="AD50" s="12" t="n">
        <v>0.75</v>
      </c>
      <c r="AE50" s="12" t="n">
        <v>0.96</v>
      </c>
      <c r="AF50" s="12" t="n">
        <v>0.94</v>
      </c>
      <c r="AG50" s="7" t="n">
        <v>23</v>
      </c>
      <c r="AH50" s="7" t="n">
        <v>1815</v>
      </c>
      <c r="AI50" s="5" t="s">
        <v>224</v>
      </c>
    </row>
    <row r="51" customFormat="false" ht="15" hidden="false" customHeight="false" outlineLevel="0" collapsed="false">
      <c r="A51" s="5" t="s">
        <v>138</v>
      </c>
      <c r="B51" s="5" t="s">
        <v>225</v>
      </c>
      <c r="C51" s="5" t="s">
        <v>226</v>
      </c>
      <c r="D51" s="5" t="s">
        <v>138</v>
      </c>
      <c r="E51" s="5" t="s">
        <v>53</v>
      </c>
      <c r="F51" s="6" t="n">
        <v>16413.64</v>
      </c>
      <c r="G51" s="7" t="n">
        <v>924</v>
      </c>
      <c r="H51" s="8" t="n">
        <v>-0.1955</v>
      </c>
      <c r="I51" s="8" t="n">
        <v>-0.3166</v>
      </c>
      <c r="J51" s="7" t="n">
        <v>254</v>
      </c>
      <c r="K51" s="5" t="n">
        <v>1</v>
      </c>
      <c r="L51" s="5" t="n">
        <v>4</v>
      </c>
      <c r="M51" s="5" t="n">
        <v>4.7</v>
      </c>
      <c r="N51" s="9" t="s">
        <v>54</v>
      </c>
      <c r="O51" s="5"/>
      <c r="P51" s="5"/>
      <c r="Q51" s="5"/>
      <c r="R51" s="7"/>
      <c r="S51" s="7"/>
      <c r="T51" s="5"/>
      <c r="U51" s="6"/>
      <c r="V51" s="7"/>
      <c r="W51" s="5"/>
      <c r="X51" s="7"/>
      <c r="Y51" s="7"/>
      <c r="Z51" s="7"/>
      <c r="AA51" s="10"/>
      <c r="AB51" s="11"/>
      <c r="AC51" s="10"/>
      <c r="AD51" s="12"/>
      <c r="AE51" s="12"/>
      <c r="AF51" s="12"/>
      <c r="AG51" s="7"/>
      <c r="AH51" s="7"/>
      <c r="AI51" s="5" t="s">
        <v>227</v>
      </c>
    </row>
    <row r="52" customFormat="false" ht="15" hidden="false" customHeight="false" outlineLevel="0" collapsed="false">
      <c r="A52" s="5" t="s">
        <v>138</v>
      </c>
      <c r="B52" s="5" t="s">
        <v>228</v>
      </c>
      <c r="C52" s="5" t="s">
        <v>228</v>
      </c>
      <c r="D52" s="5" t="s">
        <v>138</v>
      </c>
      <c r="E52" s="5" t="s">
        <v>60</v>
      </c>
      <c r="F52" s="6" t="n">
        <v>15980.25</v>
      </c>
      <c r="G52" s="7" t="n">
        <v>711</v>
      </c>
      <c r="H52" s="8" t="n">
        <v>-0.1934</v>
      </c>
      <c r="I52" s="8" t="n">
        <v>-0.2532</v>
      </c>
      <c r="J52" s="7" t="n">
        <v>145</v>
      </c>
      <c r="K52" s="5" t="n">
        <v>33</v>
      </c>
      <c r="L52" s="5" t="n">
        <v>67</v>
      </c>
      <c r="M52" s="5" t="n">
        <v>4.1</v>
      </c>
      <c r="N52" s="9" t="s">
        <v>54</v>
      </c>
      <c r="O52" s="5"/>
      <c r="P52" s="5" t="s">
        <v>229</v>
      </c>
      <c r="Q52" s="14" t="s">
        <v>230</v>
      </c>
      <c r="R52" s="7" t="n">
        <v>29460</v>
      </c>
      <c r="S52" s="7" t="n">
        <v>1796</v>
      </c>
      <c r="T52" s="5" t="s">
        <v>231</v>
      </c>
      <c r="U52" s="6" t="n">
        <v>265474.38</v>
      </c>
      <c r="V52" s="7" t="n">
        <v>17895</v>
      </c>
      <c r="W52" s="5" t="n">
        <v>216</v>
      </c>
      <c r="X52" s="7" t="n">
        <v>172</v>
      </c>
      <c r="Y52" s="7" t="n">
        <v>1696</v>
      </c>
      <c r="Z52" s="7" t="n">
        <v>40</v>
      </c>
      <c r="AA52" s="10" t="n">
        <v>1</v>
      </c>
      <c r="AB52" s="11" t="n">
        <v>49.8</v>
      </c>
      <c r="AC52" s="10" t="n">
        <v>15.18</v>
      </c>
      <c r="AD52" s="12" t="n">
        <v>0.92</v>
      </c>
      <c r="AE52" s="12" t="n">
        <v>0.98</v>
      </c>
      <c r="AF52" s="12" t="n">
        <v>0.99</v>
      </c>
      <c r="AG52" s="7" t="n">
        <v>40</v>
      </c>
      <c r="AH52" s="7" t="n">
        <v>2218</v>
      </c>
      <c r="AI52" s="5" t="s">
        <v>232</v>
      </c>
    </row>
    <row r="53" customFormat="false" ht="15" hidden="false" customHeight="false" outlineLevel="0" collapsed="false">
      <c r="A53" s="5" t="s">
        <v>138</v>
      </c>
      <c r="B53" s="5" t="s">
        <v>233</v>
      </c>
      <c r="C53" s="5"/>
      <c r="D53" s="5" t="s">
        <v>138</v>
      </c>
      <c r="E53" s="5" t="s">
        <v>60</v>
      </c>
      <c r="F53" s="6" t="n">
        <v>15750.91</v>
      </c>
      <c r="G53" s="7" t="n">
        <v>70</v>
      </c>
      <c r="H53" s="8" t="n">
        <v>-0.2696</v>
      </c>
      <c r="I53" s="8" t="n">
        <v>-0.386</v>
      </c>
      <c r="J53" s="7" t="n">
        <v>21</v>
      </c>
      <c r="K53" s="5" t="n">
        <v>4</v>
      </c>
      <c r="L53" s="5" t="n">
        <v>4</v>
      </c>
      <c r="M53" s="5" t="n">
        <v>3</v>
      </c>
      <c r="N53" s="9" t="s">
        <v>54</v>
      </c>
      <c r="O53" s="5"/>
      <c r="P53" s="5"/>
      <c r="Q53" s="5"/>
      <c r="R53" s="7"/>
      <c r="S53" s="7"/>
      <c r="T53" s="5"/>
      <c r="U53" s="6"/>
      <c r="V53" s="7"/>
      <c r="W53" s="5"/>
      <c r="X53" s="7"/>
      <c r="Y53" s="7"/>
      <c r="Z53" s="7"/>
      <c r="AA53" s="10"/>
      <c r="AB53" s="11"/>
      <c r="AC53" s="10"/>
      <c r="AD53" s="12"/>
      <c r="AE53" s="12"/>
      <c r="AF53" s="12"/>
      <c r="AG53" s="7"/>
      <c r="AH53" s="7"/>
      <c r="AI53" s="5" t="s">
        <v>234</v>
      </c>
    </row>
    <row r="54" customFormat="false" ht="15" hidden="false" customHeight="false" outlineLevel="0" collapsed="false">
      <c r="A54" s="5" t="s">
        <v>138</v>
      </c>
      <c r="B54" s="5" t="s">
        <v>235</v>
      </c>
      <c r="C54" s="5" t="s">
        <v>236</v>
      </c>
      <c r="D54" s="5" t="s">
        <v>138</v>
      </c>
      <c r="E54" s="5" t="s">
        <v>60</v>
      </c>
      <c r="F54" s="6" t="n">
        <v>15575.64</v>
      </c>
      <c r="G54" s="7" t="n">
        <v>338</v>
      </c>
      <c r="H54" s="8" t="n">
        <v>-0.0282</v>
      </c>
      <c r="I54" s="8" t="n">
        <v>-0.0506</v>
      </c>
      <c r="J54" s="7" t="n">
        <v>102</v>
      </c>
      <c r="K54" s="5" t="n">
        <v>2</v>
      </c>
      <c r="L54" s="5" t="n">
        <v>2</v>
      </c>
      <c r="M54" s="5" t="n">
        <v>4.7</v>
      </c>
      <c r="N54" s="9" t="s">
        <v>54</v>
      </c>
      <c r="O54" s="5"/>
      <c r="P54" s="5"/>
      <c r="Q54" s="5"/>
      <c r="R54" s="7"/>
      <c r="S54" s="7"/>
      <c r="T54" s="5"/>
      <c r="U54" s="6"/>
      <c r="V54" s="7"/>
      <c r="W54" s="5"/>
      <c r="X54" s="7"/>
      <c r="Y54" s="7"/>
      <c r="Z54" s="7"/>
      <c r="AA54" s="10"/>
      <c r="AB54" s="11"/>
      <c r="AC54" s="10"/>
      <c r="AD54" s="12"/>
      <c r="AE54" s="12"/>
      <c r="AF54" s="12"/>
      <c r="AG54" s="7"/>
      <c r="AH54" s="7"/>
      <c r="AI54" s="5" t="s">
        <v>237</v>
      </c>
    </row>
    <row r="55" customFormat="false" ht="15" hidden="false" customHeight="false" outlineLevel="0" collapsed="false">
      <c r="A55" s="5" t="s">
        <v>89</v>
      </c>
      <c r="B55" s="5" t="s">
        <v>238</v>
      </c>
      <c r="C55" s="5" t="s">
        <v>239</v>
      </c>
      <c r="D55" s="5" t="s">
        <v>89</v>
      </c>
      <c r="E55" s="5" t="s">
        <v>60</v>
      </c>
      <c r="F55" s="6" t="n">
        <v>26104.16</v>
      </c>
      <c r="G55" s="7" t="n">
        <v>895</v>
      </c>
      <c r="H55" s="8" t="n">
        <v>-0.5544</v>
      </c>
      <c r="I55" s="8" t="n">
        <v>-0.6368</v>
      </c>
      <c r="J55" s="7" t="n">
        <v>854</v>
      </c>
      <c r="K55" s="5" t="n">
        <v>35</v>
      </c>
      <c r="L55" s="5" t="n">
        <v>93</v>
      </c>
      <c r="M55" s="5" t="n">
        <v>3.5</v>
      </c>
      <c r="N55" s="15" t="s">
        <v>151</v>
      </c>
      <c r="O55" s="5" t="s">
        <v>240</v>
      </c>
      <c r="P55" s="5" t="s">
        <v>241</v>
      </c>
      <c r="Q55" s="14" t="s">
        <v>242</v>
      </c>
      <c r="R55" s="7" t="n">
        <v>18674</v>
      </c>
      <c r="S55" s="7" t="n">
        <v>289</v>
      </c>
      <c r="T55" s="5" t="s">
        <v>243</v>
      </c>
      <c r="U55" s="6" t="n">
        <v>831268.17</v>
      </c>
      <c r="V55" s="7" t="n">
        <v>41459</v>
      </c>
      <c r="W55" s="5" t="n">
        <v>146</v>
      </c>
      <c r="X55" s="7" t="n">
        <v>4277</v>
      </c>
      <c r="Y55" s="7" t="n">
        <v>9003</v>
      </c>
      <c r="Z55" s="7" t="n">
        <v>1818</v>
      </c>
      <c r="AA55" s="10" t="n">
        <v>4.8</v>
      </c>
      <c r="AB55" s="11" t="n">
        <v>83</v>
      </c>
      <c r="AC55" s="10" t="n">
        <v>22.52</v>
      </c>
      <c r="AD55" s="12" t="n">
        <v>0.62</v>
      </c>
      <c r="AE55" s="12" t="n">
        <v>0.94</v>
      </c>
      <c r="AF55" s="12" t="n">
        <v>0.84</v>
      </c>
      <c r="AG55" s="7" t="n">
        <v>294</v>
      </c>
      <c r="AH55" s="7" t="n">
        <v>1709</v>
      </c>
      <c r="AI55" s="5" t="s">
        <v>244</v>
      </c>
    </row>
    <row r="56" customFormat="false" ht="15" hidden="false" customHeight="false" outlineLevel="0" collapsed="false">
      <c r="A56" s="5" t="s">
        <v>89</v>
      </c>
      <c r="B56" s="5" t="s">
        <v>245</v>
      </c>
      <c r="C56" s="5" t="s">
        <v>246</v>
      </c>
      <c r="D56" s="5" t="s">
        <v>89</v>
      </c>
      <c r="E56" s="5" t="s">
        <v>53</v>
      </c>
      <c r="F56" s="6" t="n">
        <v>25903.29</v>
      </c>
      <c r="G56" s="7" t="n">
        <v>5385</v>
      </c>
      <c r="H56" s="8" t="n">
        <v>0.0304</v>
      </c>
      <c r="I56" s="8" t="n">
        <v>-0.1052</v>
      </c>
      <c r="J56" s="7" t="n">
        <v>507</v>
      </c>
      <c r="K56" s="5" t="n">
        <v>266</v>
      </c>
      <c r="L56" s="5" t="n">
        <v>705</v>
      </c>
      <c r="M56" s="5" t="n">
        <v>4.3</v>
      </c>
      <c r="N56" s="9" t="s">
        <v>54</v>
      </c>
      <c r="O56" s="5"/>
      <c r="P56" s="5"/>
      <c r="Q56" s="5"/>
      <c r="R56" s="7"/>
      <c r="S56" s="7"/>
      <c r="T56" s="5"/>
      <c r="U56" s="6"/>
      <c r="V56" s="7"/>
      <c r="W56" s="5"/>
      <c r="X56" s="7"/>
      <c r="Y56" s="7"/>
      <c r="Z56" s="7"/>
      <c r="AA56" s="10"/>
      <c r="AB56" s="11"/>
      <c r="AC56" s="10"/>
      <c r="AD56" s="12"/>
      <c r="AE56" s="12"/>
      <c r="AF56" s="12"/>
      <c r="AG56" s="7"/>
      <c r="AH56" s="7"/>
      <c r="AI56" s="5" t="s">
        <v>247</v>
      </c>
    </row>
    <row r="57" customFormat="false" ht="15" hidden="false" customHeight="false" outlineLevel="0" collapsed="false">
      <c r="A57" s="5" t="s">
        <v>89</v>
      </c>
      <c r="B57" s="5" t="s">
        <v>248</v>
      </c>
      <c r="C57" s="5" t="s">
        <v>249</v>
      </c>
      <c r="D57" s="5" t="s">
        <v>89</v>
      </c>
      <c r="E57" s="5" t="s">
        <v>53</v>
      </c>
      <c r="F57" s="6" t="n">
        <v>25808.68</v>
      </c>
      <c r="G57" s="7" t="n">
        <v>2448</v>
      </c>
      <c r="H57" s="8" t="n">
        <v>-0.2986</v>
      </c>
      <c r="I57" s="8" t="n">
        <v>-0.3694</v>
      </c>
      <c r="J57" s="7" t="n">
        <v>5</v>
      </c>
      <c r="K57" s="5" t="n">
        <v>8</v>
      </c>
      <c r="L57" s="5" t="n">
        <v>324</v>
      </c>
      <c r="M57" s="5" t="n">
        <v>3.8</v>
      </c>
      <c r="N57" s="9" t="s">
        <v>54</v>
      </c>
      <c r="O57" s="5"/>
      <c r="P57" s="5"/>
      <c r="Q57" s="5"/>
      <c r="R57" s="7"/>
      <c r="S57" s="7"/>
      <c r="T57" s="5"/>
      <c r="U57" s="6"/>
      <c r="V57" s="7"/>
      <c r="W57" s="5"/>
      <c r="X57" s="7"/>
      <c r="Y57" s="7"/>
      <c r="Z57" s="7"/>
      <c r="AA57" s="10"/>
      <c r="AB57" s="11"/>
      <c r="AC57" s="10"/>
      <c r="AD57" s="12"/>
      <c r="AE57" s="12"/>
      <c r="AF57" s="12"/>
      <c r="AG57" s="7"/>
      <c r="AH57" s="7"/>
      <c r="AI57" s="5" t="s">
        <v>250</v>
      </c>
    </row>
    <row r="58" customFormat="false" ht="15" hidden="false" customHeight="false" outlineLevel="0" collapsed="false">
      <c r="A58" s="5" t="s">
        <v>89</v>
      </c>
      <c r="B58" s="5" t="s">
        <v>251</v>
      </c>
      <c r="C58" s="5" t="s">
        <v>252</v>
      </c>
      <c r="D58" s="5" t="s">
        <v>89</v>
      </c>
      <c r="E58" s="5" t="s">
        <v>53</v>
      </c>
      <c r="F58" s="6" t="n">
        <v>25637.63</v>
      </c>
      <c r="G58" s="7" t="n">
        <v>2125</v>
      </c>
      <c r="H58" s="8" t="n">
        <v>-0.3202</v>
      </c>
      <c r="I58" s="8" t="n">
        <v>-0.2624</v>
      </c>
      <c r="J58" s="7" t="n">
        <v>146</v>
      </c>
      <c r="K58" s="5" t="n">
        <v>37</v>
      </c>
      <c r="L58" s="5" t="n">
        <v>120</v>
      </c>
      <c r="M58" s="5" t="n">
        <v>4.5</v>
      </c>
      <c r="N58" s="9" t="s">
        <v>54</v>
      </c>
      <c r="O58" s="5"/>
      <c r="P58" s="5"/>
      <c r="Q58" s="5"/>
      <c r="R58" s="7"/>
      <c r="S58" s="7"/>
      <c r="T58" s="5"/>
      <c r="U58" s="6"/>
      <c r="V58" s="7"/>
      <c r="W58" s="5"/>
      <c r="X58" s="7"/>
      <c r="Y58" s="7"/>
      <c r="Z58" s="7"/>
      <c r="AA58" s="10"/>
      <c r="AB58" s="11"/>
      <c r="AC58" s="10"/>
      <c r="AD58" s="12"/>
      <c r="AE58" s="12"/>
      <c r="AF58" s="12"/>
      <c r="AG58" s="7"/>
      <c r="AH58" s="7"/>
      <c r="AI58" s="5" t="s">
        <v>253</v>
      </c>
    </row>
    <row r="59" customFormat="false" ht="15" hidden="false" customHeight="false" outlineLevel="0" collapsed="false">
      <c r="A59" s="5" t="s">
        <v>89</v>
      </c>
      <c r="B59" s="5" t="s">
        <v>254</v>
      </c>
      <c r="C59" s="5" t="s">
        <v>255</v>
      </c>
      <c r="D59" s="5" t="s">
        <v>89</v>
      </c>
      <c r="E59" s="5" t="s">
        <v>53</v>
      </c>
      <c r="F59" s="6" t="n">
        <v>25602.18</v>
      </c>
      <c r="G59" s="7" t="n">
        <v>4167</v>
      </c>
      <c r="H59" s="8" t="n">
        <v>0.2952</v>
      </c>
      <c r="I59" s="8" t="n">
        <v>0.3334</v>
      </c>
      <c r="J59" s="7" t="n">
        <v>247</v>
      </c>
      <c r="K59" s="5" t="n">
        <v>395</v>
      </c>
      <c r="L59" s="5" t="n">
        <v>1956</v>
      </c>
      <c r="M59" s="5" t="n">
        <v>4.7</v>
      </c>
      <c r="N59" s="9" t="s">
        <v>54</v>
      </c>
      <c r="O59" s="5"/>
      <c r="P59" s="5"/>
      <c r="Q59" s="5"/>
      <c r="R59" s="7"/>
      <c r="S59" s="7"/>
      <c r="T59" s="5"/>
      <c r="U59" s="6"/>
      <c r="V59" s="7"/>
      <c r="W59" s="5"/>
      <c r="X59" s="7"/>
      <c r="Y59" s="7"/>
      <c r="Z59" s="7"/>
      <c r="AA59" s="10"/>
      <c r="AB59" s="11"/>
      <c r="AC59" s="10"/>
      <c r="AD59" s="12"/>
      <c r="AE59" s="12"/>
      <c r="AF59" s="12"/>
      <c r="AG59" s="7"/>
      <c r="AH59" s="7"/>
      <c r="AI59" s="5" t="s">
        <v>256</v>
      </c>
    </row>
    <row r="60" customFormat="false" ht="15" hidden="false" customHeight="false" outlineLevel="0" collapsed="false">
      <c r="A60" s="5" t="s">
        <v>89</v>
      </c>
      <c r="B60" s="5" t="s">
        <v>257</v>
      </c>
      <c r="C60" s="5"/>
      <c r="D60" s="5" t="s">
        <v>89</v>
      </c>
      <c r="E60" s="5" t="s">
        <v>60</v>
      </c>
      <c r="F60" s="6" t="n">
        <v>25406.87</v>
      </c>
      <c r="G60" s="7" t="n">
        <v>2384</v>
      </c>
      <c r="H60" s="8" t="n">
        <v>3.163</v>
      </c>
      <c r="I60" s="8" t="n">
        <v>2.5423</v>
      </c>
      <c r="J60" s="7" t="n">
        <v>3296</v>
      </c>
      <c r="K60" s="5" t="n">
        <v>20</v>
      </c>
      <c r="L60" s="5" t="n">
        <v>30</v>
      </c>
      <c r="M60" s="5" t="n">
        <v>4.2</v>
      </c>
      <c r="N60" s="9" t="s">
        <v>54</v>
      </c>
      <c r="O60" s="5" t="s">
        <v>258</v>
      </c>
      <c r="P60" s="5"/>
      <c r="Q60" s="5"/>
      <c r="R60" s="7"/>
      <c r="S60" s="7"/>
      <c r="T60" s="5" t="s">
        <v>259</v>
      </c>
      <c r="U60" s="6" t="n">
        <v>122872.19</v>
      </c>
      <c r="V60" s="7" t="n">
        <v>14793</v>
      </c>
      <c r="W60" s="5" t="n">
        <v>45</v>
      </c>
      <c r="X60" s="7" t="n">
        <v>4297</v>
      </c>
      <c r="Y60" s="7" t="n">
        <v>10197</v>
      </c>
      <c r="Z60" s="7" t="n">
        <v>753</v>
      </c>
      <c r="AA60" s="10" t="n">
        <v>2.5</v>
      </c>
      <c r="AB60" s="11" t="n">
        <v>56.66</v>
      </c>
      <c r="AC60" s="10"/>
      <c r="AD60" s="12"/>
      <c r="AE60" s="12"/>
      <c r="AF60" s="12"/>
      <c r="AG60" s="7" t="n">
        <v>306</v>
      </c>
      <c r="AH60" s="7" t="n">
        <v>1838</v>
      </c>
      <c r="AI60" s="5" t="s">
        <v>260</v>
      </c>
    </row>
    <row r="61" customFormat="false" ht="15" hidden="false" customHeight="false" outlineLevel="0" collapsed="false">
      <c r="A61" s="5" t="s">
        <v>89</v>
      </c>
      <c r="B61" s="5" t="s">
        <v>261</v>
      </c>
      <c r="C61" s="5" t="s">
        <v>261</v>
      </c>
      <c r="D61" s="5" t="s">
        <v>89</v>
      </c>
      <c r="E61" s="5" t="s">
        <v>60</v>
      </c>
      <c r="F61" s="6" t="n">
        <v>25406.53</v>
      </c>
      <c r="G61" s="7" t="n">
        <v>2211</v>
      </c>
      <c r="H61" s="8" t="n">
        <v>-0.1359</v>
      </c>
      <c r="I61" s="8" t="n">
        <v>-0.2462</v>
      </c>
      <c r="J61" s="7" t="n">
        <v>298</v>
      </c>
      <c r="K61" s="5" t="n">
        <v>102</v>
      </c>
      <c r="L61" s="5" t="n">
        <v>183</v>
      </c>
      <c r="M61" s="5" t="n">
        <v>4.2</v>
      </c>
      <c r="N61" s="9" t="s">
        <v>54</v>
      </c>
      <c r="O61" s="5"/>
      <c r="P61" s="5"/>
      <c r="Q61" s="5"/>
      <c r="R61" s="7"/>
      <c r="S61" s="7"/>
      <c r="T61" s="5"/>
      <c r="U61" s="6"/>
      <c r="V61" s="7"/>
      <c r="W61" s="5"/>
      <c r="X61" s="7"/>
      <c r="Y61" s="7"/>
      <c r="Z61" s="7"/>
      <c r="AA61" s="10"/>
      <c r="AB61" s="11"/>
      <c r="AC61" s="10"/>
      <c r="AD61" s="12"/>
      <c r="AE61" s="12"/>
      <c r="AF61" s="12"/>
      <c r="AG61" s="7"/>
      <c r="AH61" s="7"/>
      <c r="AI61" s="5" t="s">
        <v>262</v>
      </c>
    </row>
    <row r="62" customFormat="false" ht="15" hidden="false" customHeight="false" outlineLevel="0" collapsed="false">
      <c r="A62" s="5" t="s">
        <v>89</v>
      </c>
      <c r="B62" s="5" t="s">
        <v>263</v>
      </c>
      <c r="C62" s="5"/>
      <c r="D62" s="5" t="s">
        <v>89</v>
      </c>
      <c r="E62" s="5" t="s">
        <v>60</v>
      </c>
      <c r="F62" s="6" t="n">
        <v>25237.52</v>
      </c>
      <c r="G62" s="7" t="n">
        <v>925</v>
      </c>
      <c r="H62" s="8" t="n">
        <v>0.1123</v>
      </c>
      <c r="I62" s="8" t="n">
        <v>0.1679</v>
      </c>
      <c r="J62" s="7" t="n">
        <v>152</v>
      </c>
      <c r="K62" s="5" t="n">
        <v>4</v>
      </c>
      <c r="L62" s="5" t="n">
        <v>7</v>
      </c>
      <c r="M62" s="5" t="n">
        <v>4.5</v>
      </c>
      <c r="N62" s="9" t="s">
        <v>54</v>
      </c>
      <c r="O62" s="5"/>
      <c r="P62" s="5"/>
      <c r="Q62" s="5"/>
      <c r="R62" s="7"/>
      <c r="S62" s="7"/>
      <c r="T62" s="5"/>
      <c r="U62" s="6"/>
      <c r="V62" s="7"/>
      <c r="W62" s="5"/>
      <c r="X62" s="7"/>
      <c r="Y62" s="7"/>
      <c r="Z62" s="7"/>
      <c r="AA62" s="10"/>
      <c r="AB62" s="11"/>
      <c r="AC62" s="10"/>
      <c r="AD62" s="12"/>
      <c r="AE62" s="12"/>
      <c r="AF62" s="12"/>
      <c r="AG62" s="7"/>
      <c r="AH62" s="7"/>
      <c r="AI62" s="5" t="s">
        <v>264</v>
      </c>
    </row>
    <row r="63" customFormat="false" ht="15" hidden="false" customHeight="false" outlineLevel="0" collapsed="false">
      <c r="A63" s="5" t="s">
        <v>89</v>
      </c>
      <c r="B63" s="5" t="s">
        <v>265</v>
      </c>
      <c r="C63" s="5" t="s">
        <v>265</v>
      </c>
      <c r="D63" s="5" t="s">
        <v>89</v>
      </c>
      <c r="E63" s="5" t="s">
        <v>60</v>
      </c>
      <c r="F63" s="6" t="n">
        <v>24930.19</v>
      </c>
      <c r="G63" s="7" t="n">
        <v>1905</v>
      </c>
      <c r="H63" s="8" t="n">
        <v>0.062</v>
      </c>
      <c r="I63" s="8" t="n">
        <v>0.0325</v>
      </c>
      <c r="J63" s="7" t="n">
        <v>196</v>
      </c>
      <c r="K63" s="5" t="n">
        <v>18</v>
      </c>
      <c r="L63" s="5" t="n">
        <v>48</v>
      </c>
      <c r="M63" s="5" t="n">
        <v>3.9</v>
      </c>
      <c r="N63" s="9" t="s">
        <v>54</v>
      </c>
      <c r="O63" s="5"/>
      <c r="P63" s="5"/>
      <c r="Q63" s="5"/>
      <c r="R63" s="7"/>
      <c r="S63" s="7"/>
      <c r="T63" s="5"/>
      <c r="U63" s="6"/>
      <c r="V63" s="7"/>
      <c r="W63" s="5"/>
      <c r="X63" s="7"/>
      <c r="Y63" s="7"/>
      <c r="Z63" s="7"/>
      <c r="AA63" s="10"/>
      <c r="AB63" s="11"/>
      <c r="AC63" s="10"/>
      <c r="AD63" s="12"/>
      <c r="AE63" s="12"/>
      <c r="AF63" s="12"/>
      <c r="AG63" s="7"/>
      <c r="AH63" s="7"/>
      <c r="AI63" s="5" t="s">
        <v>266</v>
      </c>
    </row>
    <row r="64" customFormat="false" ht="15" hidden="false" customHeight="false" outlineLevel="0" collapsed="false">
      <c r="A64" s="5" t="s">
        <v>89</v>
      </c>
      <c r="B64" s="5" t="s">
        <v>267</v>
      </c>
      <c r="C64" s="5" t="s">
        <v>268</v>
      </c>
      <c r="D64" s="5" t="s">
        <v>269</v>
      </c>
      <c r="E64" s="5" t="s">
        <v>60</v>
      </c>
      <c r="F64" s="6" t="n">
        <v>24598.62</v>
      </c>
      <c r="G64" s="7" t="n">
        <v>1612</v>
      </c>
      <c r="H64" s="8" t="n">
        <v>0.1186</v>
      </c>
      <c r="I64" s="8" t="n">
        <v>0.0877</v>
      </c>
      <c r="J64" s="7" t="n">
        <v>315</v>
      </c>
      <c r="K64" s="5" t="n">
        <v>1</v>
      </c>
      <c r="L64" s="5" t="n">
        <v>292</v>
      </c>
      <c r="M64" s="5" t="n">
        <v>4.7</v>
      </c>
      <c r="N64" s="13" t="s">
        <v>61</v>
      </c>
      <c r="O64" s="5"/>
      <c r="P64" s="5"/>
      <c r="Q64" s="5"/>
      <c r="R64" s="7"/>
      <c r="S64" s="7"/>
      <c r="T64" s="5"/>
      <c r="U64" s="6"/>
      <c r="V64" s="7"/>
      <c r="W64" s="5"/>
      <c r="X64" s="7"/>
      <c r="Y64" s="7"/>
      <c r="Z64" s="7"/>
      <c r="AA64" s="10"/>
      <c r="AB64" s="11"/>
      <c r="AC64" s="10"/>
      <c r="AD64" s="12"/>
      <c r="AE64" s="12"/>
      <c r="AF64" s="12"/>
      <c r="AG64" s="7"/>
      <c r="AH64" s="7"/>
      <c r="AI64" s="5" t="s">
        <v>270</v>
      </c>
    </row>
    <row r="65" customFormat="false" ht="15" hidden="false" customHeight="false" outlineLevel="0" collapsed="false">
      <c r="A65" s="5" t="s">
        <v>89</v>
      </c>
      <c r="B65" s="5" t="s">
        <v>271</v>
      </c>
      <c r="C65" s="5"/>
      <c r="D65" s="5" t="s">
        <v>89</v>
      </c>
      <c r="E65" s="5" t="s">
        <v>60</v>
      </c>
      <c r="F65" s="6" t="n">
        <v>24267.44</v>
      </c>
      <c r="G65" s="7" t="n">
        <v>1654</v>
      </c>
      <c r="H65" s="8" t="n">
        <v>-0.228</v>
      </c>
      <c r="I65" s="8" t="n">
        <v>-0.4512</v>
      </c>
      <c r="J65" s="7" t="n">
        <v>630</v>
      </c>
      <c r="K65" s="5" t="n">
        <v>37</v>
      </c>
      <c r="L65" s="5" t="n">
        <v>48</v>
      </c>
      <c r="M65" s="5" t="n">
        <v>3.3</v>
      </c>
      <c r="N65" s="9" t="s">
        <v>54</v>
      </c>
      <c r="O65" s="5"/>
      <c r="P65" s="5"/>
      <c r="Q65" s="5"/>
      <c r="R65" s="7"/>
      <c r="S65" s="7"/>
      <c r="T65" s="5"/>
      <c r="U65" s="6"/>
      <c r="V65" s="7"/>
      <c r="W65" s="5"/>
      <c r="X65" s="7"/>
      <c r="Y65" s="7"/>
      <c r="Z65" s="7"/>
      <c r="AA65" s="10"/>
      <c r="AB65" s="11"/>
      <c r="AC65" s="10"/>
      <c r="AD65" s="12"/>
      <c r="AE65" s="12"/>
      <c r="AF65" s="12"/>
      <c r="AG65" s="7"/>
      <c r="AH65" s="7"/>
      <c r="AI65" s="5" t="s">
        <v>272</v>
      </c>
    </row>
    <row r="66" customFormat="false" ht="15" hidden="false" customHeight="false" outlineLevel="0" collapsed="false">
      <c r="A66" s="5" t="s">
        <v>89</v>
      </c>
      <c r="B66" s="5" t="s">
        <v>273</v>
      </c>
      <c r="C66" s="5"/>
      <c r="D66" s="5" t="s">
        <v>89</v>
      </c>
      <c r="E66" s="5" t="s">
        <v>60</v>
      </c>
      <c r="F66" s="6" t="n">
        <v>24099.73</v>
      </c>
      <c r="G66" s="7" t="n">
        <v>1287</v>
      </c>
      <c r="H66" s="8" t="n">
        <v>3.1523</v>
      </c>
      <c r="I66" s="8" t="n">
        <v>1.9518</v>
      </c>
      <c r="J66" s="7" t="n">
        <v>154</v>
      </c>
      <c r="K66" s="5" t="n">
        <v>4</v>
      </c>
      <c r="L66" s="5" t="n">
        <v>8</v>
      </c>
      <c r="M66" s="5" t="n">
        <v>4.4</v>
      </c>
      <c r="N66" s="9" t="s">
        <v>54</v>
      </c>
      <c r="O66" s="5"/>
      <c r="P66" s="5" t="s">
        <v>274</v>
      </c>
      <c r="Q66" s="14" t="s">
        <v>275</v>
      </c>
      <c r="R66" s="7" t="n">
        <v>33</v>
      </c>
      <c r="S66" s="7" t="n">
        <v>82</v>
      </c>
      <c r="T66" s="5" t="s">
        <v>276</v>
      </c>
      <c r="U66" s="6" t="n">
        <v>149779.49</v>
      </c>
      <c r="V66" s="7" t="n">
        <v>10650</v>
      </c>
      <c r="W66" s="5" t="n">
        <v>37</v>
      </c>
      <c r="X66" s="7" t="n">
        <v>1211</v>
      </c>
      <c r="Y66" s="7" t="n">
        <v>2447</v>
      </c>
      <c r="Z66" s="7" t="n">
        <v>155</v>
      </c>
      <c r="AA66" s="10" t="n">
        <v>3</v>
      </c>
      <c r="AB66" s="11" t="n">
        <v>95</v>
      </c>
      <c r="AC66" s="10" t="n">
        <v>8.11</v>
      </c>
      <c r="AD66" s="12" t="n">
        <v>0.7</v>
      </c>
      <c r="AE66" s="12" t="n">
        <v>0.72</v>
      </c>
      <c r="AF66" s="12" t="n">
        <v>1</v>
      </c>
      <c r="AG66" s="7" t="n">
        <v>236</v>
      </c>
      <c r="AH66" s="7" t="n">
        <v>1324</v>
      </c>
      <c r="AI66" s="5" t="s">
        <v>277</v>
      </c>
    </row>
    <row r="67" customFormat="false" ht="15" hidden="false" customHeight="false" outlineLevel="0" collapsed="false">
      <c r="A67" s="5" t="s">
        <v>89</v>
      </c>
      <c r="B67" s="5" t="s">
        <v>278</v>
      </c>
      <c r="C67" s="5"/>
      <c r="D67" s="5" t="s">
        <v>89</v>
      </c>
      <c r="E67" s="5" t="s">
        <v>60</v>
      </c>
      <c r="F67" s="6" t="n">
        <v>23896.57</v>
      </c>
      <c r="G67" s="7" t="n">
        <v>1370</v>
      </c>
      <c r="H67" s="8" t="n">
        <v>1.3801</v>
      </c>
      <c r="I67" s="8" t="n">
        <v>0.7452</v>
      </c>
      <c r="J67" s="7" t="n">
        <v>800</v>
      </c>
      <c r="K67" s="5" t="n">
        <v>7</v>
      </c>
      <c r="L67" s="5" t="n">
        <v>8</v>
      </c>
      <c r="M67" s="5" t="n">
        <v>4.4</v>
      </c>
      <c r="N67" s="9" t="s">
        <v>54</v>
      </c>
      <c r="O67" s="5" t="s">
        <v>258</v>
      </c>
      <c r="P67" s="5"/>
      <c r="Q67" s="5"/>
      <c r="R67" s="7"/>
      <c r="S67" s="7"/>
      <c r="T67" s="5" t="s">
        <v>279</v>
      </c>
      <c r="U67" s="6" t="n">
        <v>38863.2</v>
      </c>
      <c r="V67" s="7" t="n">
        <v>3063</v>
      </c>
      <c r="W67" s="5" t="n">
        <v>8</v>
      </c>
      <c r="X67" s="7" t="n">
        <v>1075</v>
      </c>
      <c r="Y67" s="7" t="n">
        <v>2331</v>
      </c>
      <c r="Z67" s="7" t="n">
        <v>121</v>
      </c>
      <c r="AA67" s="10" t="n">
        <v>7.79</v>
      </c>
      <c r="AB67" s="11" t="n">
        <v>76.25</v>
      </c>
      <c r="AC67" s="10"/>
      <c r="AD67" s="12"/>
      <c r="AE67" s="12"/>
      <c r="AF67" s="12"/>
      <c r="AG67" s="7" t="n">
        <v>317</v>
      </c>
      <c r="AH67" s="7" t="n">
        <v>1925</v>
      </c>
      <c r="AI67" s="5" t="s">
        <v>280</v>
      </c>
    </row>
    <row r="68" customFormat="false" ht="15" hidden="false" customHeight="false" outlineLevel="0" collapsed="false">
      <c r="A68" s="5" t="s">
        <v>89</v>
      </c>
      <c r="B68" s="5" t="s">
        <v>281</v>
      </c>
      <c r="C68" s="5" t="s">
        <v>282</v>
      </c>
      <c r="D68" s="5" t="s">
        <v>89</v>
      </c>
      <c r="E68" s="5" t="s">
        <v>53</v>
      </c>
      <c r="F68" s="6" t="n">
        <v>23872.6</v>
      </c>
      <c r="G68" s="7" t="n">
        <v>1704</v>
      </c>
      <c r="H68" s="8" t="n">
        <v>-0.2842</v>
      </c>
      <c r="I68" s="8" t="n">
        <v>-0.4081</v>
      </c>
      <c r="J68" s="7" t="n">
        <v>1240</v>
      </c>
      <c r="K68" s="5" t="n">
        <v>39</v>
      </c>
      <c r="L68" s="5" t="n">
        <v>93</v>
      </c>
      <c r="M68" s="5" t="n">
        <v>4.7</v>
      </c>
      <c r="N68" s="9" t="s">
        <v>54</v>
      </c>
      <c r="O68" s="5"/>
      <c r="P68" s="5"/>
      <c r="Q68" s="5"/>
      <c r="R68" s="7"/>
      <c r="S68" s="7"/>
      <c r="T68" s="5"/>
      <c r="U68" s="6"/>
      <c r="V68" s="7"/>
      <c r="W68" s="5"/>
      <c r="X68" s="7"/>
      <c r="Y68" s="7"/>
      <c r="Z68" s="7"/>
      <c r="AA68" s="10"/>
      <c r="AB68" s="11"/>
      <c r="AC68" s="10"/>
      <c r="AD68" s="12"/>
      <c r="AE68" s="12"/>
      <c r="AF68" s="12"/>
      <c r="AG68" s="7"/>
      <c r="AH68" s="7"/>
      <c r="AI68" s="5" t="s">
        <v>283</v>
      </c>
    </row>
    <row r="69" customFormat="false" ht="15" hidden="false" customHeight="false" outlineLevel="0" collapsed="false">
      <c r="A69" s="5" t="s">
        <v>89</v>
      </c>
      <c r="B69" s="5" t="s">
        <v>284</v>
      </c>
      <c r="C69" s="5" t="s">
        <v>285</v>
      </c>
      <c r="D69" s="5" t="s">
        <v>89</v>
      </c>
      <c r="E69" s="5" t="s">
        <v>60</v>
      </c>
      <c r="F69" s="6" t="n">
        <v>23770.07</v>
      </c>
      <c r="G69" s="7" t="n">
        <v>2677</v>
      </c>
      <c r="H69" s="8" t="n">
        <v>0.6142</v>
      </c>
      <c r="I69" s="8" t="n">
        <v>0.3972</v>
      </c>
      <c r="J69" s="7" t="n">
        <v>80</v>
      </c>
      <c r="K69" s="5" t="n">
        <v>39</v>
      </c>
      <c r="L69" s="5" t="n">
        <v>35</v>
      </c>
      <c r="M69" s="5" t="n">
        <v>3.7</v>
      </c>
      <c r="N69" s="9" t="s">
        <v>54</v>
      </c>
      <c r="O69" s="5"/>
      <c r="P69" s="5"/>
      <c r="Q69" s="5"/>
      <c r="R69" s="7"/>
      <c r="S69" s="7"/>
      <c r="T69" s="5"/>
      <c r="U69" s="6"/>
      <c r="V69" s="7"/>
      <c r="W69" s="5"/>
      <c r="X69" s="7"/>
      <c r="Y69" s="7"/>
      <c r="Z69" s="7"/>
      <c r="AA69" s="10"/>
      <c r="AB69" s="11"/>
      <c r="AC69" s="10"/>
      <c r="AD69" s="12"/>
      <c r="AE69" s="12"/>
      <c r="AF69" s="12"/>
      <c r="AG69" s="7"/>
      <c r="AH69" s="7"/>
      <c r="AI69" s="5" t="s">
        <v>286</v>
      </c>
    </row>
    <row r="70" customFormat="false" ht="15" hidden="false" customHeight="false" outlineLevel="0" collapsed="false">
      <c r="A70" s="5" t="s">
        <v>89</v>
      </c>
      <c r="B70" s="5" t="s">
        <v>287</v>
      </c>
      <c r="C70" s="5" t="s">
        <v>288</v>
      </c>
      <c r="D70" s="5" t="s">
        <v>89</v>
      </c>
      <c r="E70" s="5" t="s">
        <v>53</v>
      </c>
      <c r="F70" s="6" t="n">
        <v>23760.35</v>
      </c>
      <c r="G70" s="7" t="n">
        <v>5877</v>
      </c>
      <c r="H70" s="8" t="n">
        <v>-0.18</v>
      </c>
      <c r="I70" s="8" t="n">
        <v>-0.1827</v>
      </c>
      <c r="J70" s="7" t="n">
        <v>411</v>
      </c>
      <c r="K70" s="5" t="n">
        <v>90</v>
      </c>
      <c r="L70" s="5" t="n">
        <v>91</v>
      </c>
      <c r="M70" s="5" t="n">
        <v>4.7</v>
      </c>
      <c r="N70" s="9" t="s">
        <v>54</v>
      </c>
      <c r="O70" s="5"/>
      <c r="P70" s="5"/>
      <c r="Q70" s="5"/>
      <c r="R70" s="7"/>
      <c r="S70" s="7"/>
      <c r="T70" s="5"/>
      <c r="U70" s="6"/>
      <c r="V70" s="7"/>
      <c r="W70" s="5"/>
      <c r="X70" s="7"/>
      <c r="Y70" s="7"/>
      <c r="Z70" s="7"/>
      <c r="AA70" s="10"/>
      <c r="AB70" s="11"/>
      <c r="AC70" s="10"/>
      <c r="AD70" s="12"/>
      <c r="AE70" s="12"/>
      <c r="AF70" s="12"/>
      <c r="AG70" s="7"/>
      <c r="AH70" s="7"/>
      <c r="AI70" s="5" t="s">
        <v>289</v>
      </c>
    </row>
    <row r="71" customFormat="false" ht="15" hidden="false" customHeight="false" outlineLevel="0" collapsed="false">
      <c r="A71" s="5" t="s">
        <v>89</v>
      </c>
      <c r="B71" s="5" t="s">
        <v>290</v>
      </c>
      <c r="C71" s="5"/>
      <c r="D71" s="5" t="s">
        <v>291</v>
      </c>
      <c r="E71" s="5" t="s">
        <v>60</v>
      </c>
      <c r="F71" s="6" t="n">
        <v>23677.11</v>
      </c>
      <c r="G71" s="7" t="n">
        <v>1604</v>
      </c>
      <c r="H71" s="8" t="n">
        <v>-0.3777</v>
      </c>
      <c r="I71" s="8" t="n">
        <v>-0.3859</v>
      </c>
      <c r="J71" s="7" t="n">
        <v>143</v>
      </c>
      <c r="K71" s="5" t="n">
        <v>16</v>
      </c>
      <c r="L71" s="5" t="n">
        <v>98</v>
      </c>
      <c r="M71" s="5" t="n">
        <v>3.6</v>
      </c>
      <c r="N71" s="15" t="s">
        <v>151</v>
      </c>
      <c r="O71" s="5" t="s">
        <v>292</v>
      </c>
      <c r="P71" s="5"/>
      <c r="Q71" s="5"/>
      <c r="R71" s="7"/>
      <c r="S71" s="7"/>
      <c r="T71" s="5"/>
      <c r="U71" s="6"/>
      <c r="V71" s="7"/>
      <c r="W71" s="5"/>
      <c r="X71" s="7"/>
      <c r="Y71" s="7"/>
      <c r="Z71" s="7"/>
      <c r="AA71" s="10"/>
      <c r="AB71" s="11"/>
      <c r="AC71" s="10"/>
      <c r="AD71" s="12"/>
      <c r="AE71" s="12"/>
      <c r="AF71" s="12"/>
      <c r="AG71" s="7"/>
      <c r="AH71" s="7"/>
      <c r="AI71" s="5" t="s">
        <v>293</v>
      </c>
    </row>
    <row r="72" customFormat="false" ht="15" hidden="false" customHeight="false" outlineLevel="0" collapsed="false">
      <c r="A72" s="5" t="s">
        <v>89</v>
      </c>
      <c r="B72" s="5" t="s">
        <v>294</v>
      </c>
      <c r="C72" s="5" t="s">
        <v>295</v>
      </c>
      <c r="D72" s="5" t="s">
        <v>89</v>
      </c>
      <c r="E72" s="5" t="s">
        <v>60</v>
      </c>
      <c r="F72" s="6" t="n">
        <v>23591.27</v>
      </c>
      <c r="G72" s="7" t="n">
        <v>924</v>
      </c>
      <c r="H72" s="8" t="n">
        <v>-0.3387</v>
      </c>
      <c r="I72" s="8" t="n">
        <v>-0.464</v>
      </c>
      <c r="J72" s="7" t="n">
        <v>184</v>
      </c>
      <c r="K72" s="5" t="n">
        <v>6</v>
      </c>
      <c r="L72" s="5" t="n">
        <v>49</v>
      </c>
      <c r="M72" s="5" t="n">
        <v>4</v>
      </c>
      <c r="N72" s="15" t="s">
        <v>151</v>
      </c>
      <c r="O72" s="5" t="s">
        <v>296</v>
      </c>
      <c r="P72" s="5"/>
      <c r="Q72" s="5"/>
      <c r="R72" s="7"/>
      <c r="S72" s="7"/>
      <c r="T72" s="5"/>
      <c r="U72" s="6"/>
      <c r="V72" s="7"/>
      <c r="W72" s="5"/>
      <c r="X72" s="7"/>
      <c r="Y72" s="7"/>
      <c r="Z72" s="7"/>
      <c r="AA72" s="10"/>
      <c r="AB72" s="11"/>
      <c r="AC72" s="10"/>
      <c r="AD72" s="12"/>
      <c r="AE72" s="12"/>
      <c r="AF72" s="12"/>
      <c r="AG72" s="7"/>
      <c r="AH72" s="7"/>
      <c r="AI72" s="5" t="s">
        <v>297</v>
      </c>
    </row>
    <row r="73" customFormat="false" ht="15" hidden="false" customHeight="false" outlineLevel="0" collapsed="false">
      <c r="A73" s="5" t="s">
        <v>89</v>
      </c>
      <c r="B73" s="5" t="s">
        <v>298</v>
      </c>
      <c r="C73" s="5" t="s">
        <v>299</v>
      </c>
      <c r="D73" s="5" t="s">
        <v>89</v>
      </c>
      <c r="E73" s="5" t="s">
        <v>53</v>
      </c>
      <c r="F73" s="6" t="n">
        <v>23490.46</v>
      </c>
      <c r="G73" s="7" t="n">
        <v>4061</v>
      </c>
      <c r="H73" s="8" t="n">
        <v>0.2824</v>
      </c>
      <c r="I73" s="8" t="n">
        <v>0.1321</v>
      </c>
      <c r="J73" s="7" t="n">
        <v>480</v>
      </c>
      <c r="K73" s="5" t="n">
        <v>174</v>
      </c>
      <c r="L73" s="5" t="n">
        <v>351</v>
      </c>
      <c r="M73" s="5" t="n">
        <v>4.6</v>
      </c>
      <c r="N73" s="9" t="s">
        <v>54</v>
      </c>
      <c r="O73" s="5"/>
      <c r="P73" s="5"/>
      <c r="Q73" s="5"/>
      <c r="R73" s="7"/>
      <c r="S73" s="7"/>
      <c r="T73" s="5"/>
      <c r="U73" s="6"/>
      <c r="V73" s="7"/>
      <c r="W73" s="5"/>
      <c r="X73" s="7"/>
      <c r="Y73" s="7"/>
      <c r="Z73" s="7"/>
      <c r="AA73" s="10"/>
      <c r="AB73" s="11"/>
      <c r="AC73" s="10"/>
      <c r="AD73" s="12"/>
      <c r="AE73" s="12"/>
      <c r="AF73" s="12"/>
      <c r="AG73" s="7"/>
      <c r="AH73" s="7"/>
      <c r="AI73" s="5" t="s">
        <v>300</v>
      </c>
    </row>
    <row r="74" customFormat="false" ht="15" hidden="false" customHeight="false" outlineLevel="0" collapsed="false">
      <c r="A74" s="5" t="s">
        <v>89</v>
      </c>
      <c r="B74" s="5" t="s">
        <v>301</v>
      </c>
      <c r="C74" s="5" t="s">
        <v>302</v>
      </c>
      <c r="D74" s="5" t="s">
        <v>59</v>
      </c>
      <c r="E74" s="5" t="s">
        <v>60</v>
      </c>
      <c r="F74" s="6" t="n">
        <v>22832.68</v>
      </c>
      <c r="G74" s="7" t="n">
        <v>1280</v>
      </c>
      <c r="H74" s="8" t="n">
        <v>0.4714</v>
      </c>
      <c r="I74" s="8" t="n">
        <v>0.3646</v>
      </c>
      <c r="J74" s="7" t="n">
        <v>81</v>
      </c>
      <c r="K74" s="5" t="n">
        <v>9</v>
      </c>
      <c r="L74" s="5" t="n">
        <v>49</v>
      </c>
      <c r="M74" s="5" t="n">
        <v>4</v>
      </c>
      <c r="N74" s="15" t="s">
        <v>151</v>
      </c>
      <c r="O74" s="5" t="s">
        <v>303</v>
      </c>
      <c r="P74" s="5"/>
      <c r="Q74" s="5"/>
      <c r="R74" s="7"/>
      <c r="S74" s="7"/>
      <c r="T74" s="5"/>
      <c r="U74" s="6"/>
      <c r="V74" s="7"/>
      <c r="W74" s="5"/>
      <c r="X74" s="7"/>
      <c r="Y74" s="7"/>
      <c r="Z74" s="7"/>
      <c r="AA74" s="10"/>
      <c r="AB74" s="11"/>
      <c r="AC74" s="10"/>
      <c r="AD74" s="12"/>
      <c r="AE74" s="12"/>
      <c r="AF74" s="12"/>
      <c r="AG74" s="7"/>
      <c r="AH74" s="7"/>
      <c r="AI74" s="5" t="s">
        <v>304</v>
      </c>
    </row>
    <row r="75" customFormat="false" ht="15" hidden="false" customHeight="false" outlineLevel="0" collapsed="false">
      <c r="A75" s="5" t="s">
        <v>89</v>
      </c>
      <c r="B75" s="5" t="s">
        <v>305</v>
      </c>
      <c r="C75" s="5" t="s">
        <v>305</v>
      </c>
      <c r="D75" s="5" t="s">
        <v>89</v>
      </c>
      <c r="E75" s="5" t="s">
        <v>60</v>
      </c>
      <c r="F75" s="6" t="n">
        <v>22693.36</v>
      </c>
      <c r="G75" s="7" t="n">
        <v>1206</v>
      </c>
      <c r="H75" s="8" t="n">
        <v>-0.3809</v>
      </c>
      <c r="I75" s="8" t="n">
        <v>-0.4647</v>
      </c>
      <c r="J75" s="7" t="n">
        <v>1082</v>
      </c>
      <c r="K75" s="5" t="n">
        <v>81</v>
      </c>
      <c r="L75" s="5" t="n">
        <v>240</v>
      </c>
      <c r="M75" s="5" t="n">
        <v>3.9</v>
      </c>
      <c r="N75" s="9" t="s">
        <v>54</v>
      </c>
      <c r="O75" s="5"/>
      <c r="P75" s="5" t="s">
        <v>305</v>
      </c>
      <c r="Q75" s="14" t="s">
        <v>306</v>
      </c>
      <c r="R75" s="7" t="n">
        <v>149555</v>
      </c>
      <c r="S75" s="7" t="n">
        <v>5076</v>
      </c>
      <c r="T75" s="5" t="s">
        <v>307</v>
      </c>
      <c r="U75" s="6" t="n">
        <v>806078.78</v>
      </c>
      <c r="V75" s="7" t="n">
        <v>62362</v>
      </c>
      <c r="W75" s="5" t="n">
        <v>556</v>
      </c>
      <c r="X75" s="7" t="n">
        <v>1530</v>
      </c>
      <c r="Y75" s="7" t="n">
        <v>3071</v>
      </c>
      <c r="Z75" s="7" t="n">
        <v>654</v>
      </c>
      <c r="AA75" s="10" t="n">
        <v>2.99</v>
      </c>
      <c r="AB75" s="11" t="n">
        <v>169.99</v>
      </c>
      <c r="AC75" s="10" t="n">
        <v>14.44</v>
      </c>
      <c r="AD75" s="12" t="n">
        <v>0.76</v>
      </c>
      <c r="AE75" s="12" t="n">
        <v>0.92</v>
      </c>
      <c r="AF75" s="12" t="n">
        <v>0.96</v>
      </c>
      <c r="AG75" s="7" t="n">
        <v>312</v>
      </c>
      <c r="AH75" s="7" t="n">
        <v>1876</v>
      </c>
      <c r="AI75" s="5" t="s">
        <v>308</v>
      </c>
    </row>
    <row r="76" customFormat="false" ht="15" hidden="false" customHeight="false" outlineLevel="0" collapsed="false">
      <c r="A76" s="5" t="s">
        <v>89</v>
      </c>
      <c r="B76" s="5" t="s">
        <v>309</v>
      </c>
      <c r="C76" s="5" t="s">
        <v>310</v>
      </c>
      <c r="D76" s="5" t="s">
        <v>89</v>
      </c>
      <c r="E76" s="5" t="s">
        <v>60</v>
      </c>
      <c r="F76" s="6" t="n">
        <v>22504.82</v>
      </c>
      <c r="G76" s="7" t="n">
        <v>1260</v>
      </c>
      <c r="H76" s="8" t="n">
        <v>-0.5497</v>
      </c>
      <c r="I76" s="8" t="n">
        <v>-0.5614</v>
      </c>
      <c r="J76" s="7" t="n">
        <v>172</v>
      </c>
      <c r="K76" s="5" t="n">
        <v>4</v>
      </c>
      <c r="L76" s="5" t="n">
        <v>5</v>
      </c>
      <c r="M76" s="5" t="n">
        <v>4.4</v>
      </c>
      <c r="N76" s="9" t="s">
        <v>54</v>
      </c>
      <c r="O76" s="5"/>
      <c r="P76" s="5"/>
      <c r="Q76" s="5"/>
      <c r="R76" s="7"/>
      <c r="S76" s="7"/>
      <c r="T76" s="5"/>
      <c r="U76" s="6"/>
      <c r="V76" s="7"/>
      <c r="W76" s="5"/>
      <c r="X76" s="7"/>
      <c r="Y76" s="7"/>
      <c r="Z76" s="7"/>
      <c r="AA76" s="10"/>
      <c r="AB76" s="11"/>
      <c r="AC76" s="10"/>
      <c r="AD76" s="12"/>
      <c r="AE76" s="12"/>
      <c r="AF76" s="12"/>
      <c r="AG76" s="7"/>
      <c r="AH76" s="7"/>
      <c r="AI76" s="5" t="s">
        <v>311</v>
      </c>
    </row>
    <row r="77" customFormat="false" ht="15" hidden="false" customHeight="false" outlineLevel="0" collapsed="false">
      <c r="A77" s="5" t="s">
        <v>89</v>
      </c>
      <c r="B77" s="5" t="s">
        <v>312</v>
      </c>
      <c r="C77" s="5" t="s">
        <v>313</v>
      </c>
      <c r="D77" s="5" t="s">
        <v>89</v>
      </c>
      <c r="E77" s="5" t="s">
        <v>60</v>
      </c>
      <c r="F77" s="6" t="n">
        <v>22493.98</v>
      </c>
      <c r="G77" s="7" t="n">
        <v>1367</v>
      </c>
      <c r="H77" s="8" t="n">
        <v>0.086</v>
      </c>
      <c r="I77" s="8" t="n">
        <v>0.0443</v>
      </c>
      <c r="J77" s="7" t="n">
        <v>540</v>
      </c>
      <c r="K77" s="5" t="n">
        <v>25</v>
      </c>
      <c r="L77" s="5" t="n">
        <v>62</v>
      </c>
      <c r="M77" s="5" t="n">
        <v>4.4</v>
      </c>
      <c r="N77" s="9" t="s">
        <v>54</v>
      </c>
      <c r="O77" s="5"/>
      <c r="P77" s="5"/>
      <c r="Q77" s="5"/>
      <c r="R77" s="7"/>
      <c r="S77" s="7"/>
      <c r="T77" s="5"/>
      <c r="U77" s="6"/>
      <c r="V77" s="7"/>
      <c r="W77" s="5"/>
      <c r="X77" s="7"/>
      <c r="Y77" s="7"/>
      <c r="Z77" s="7"/>
      <c r="AA77" s="10"/>
      <c r="AB77" s="11"/>
      <c r="AC77" s="10"/>
      <c r="AD77" s="12"/>
      <c r="AE77" s="12"/>
      <c r="AF77" s="12"/>
      <c r="AG77" s="7"/>
      <c r="AH77" s="7"/>
      <c r="AI77" s="5" t="s">
        <v>314</v>
      </c>
    </row>
    <row r="78" customFormat="false" ht="15" hidden="false" customHeight="false" outlineLevel="0" collapsed="false">
      <c r="A78" s="5" t="s">
        <v>89</v>
      </c>
      <c r="B78" s="5" t="s">
        <v>315</v>
      </c>
      <c r="C78" s="5" t="s">
        <v>315</v>
      </c>
      <c r="D78" s="5" t="s">
        <v>89</v>
      </c>
      <c r="E78" s="5" t="s">
        <v>60</v>
      </c>
      <c r="F78" s="6" t="n">
        <v>22045.43</v>
      </c>
      <c r="G78" s="7" t="n">
        <v>1406</v>
      </c>
      <c r="H78" s="8" t="n">
        <v>-0.2756</v>
      </c>
      <c r="I78" s="8" t="n">
        <v>-0.3317</v>
      </c>
      <c r="J78" s="7" t="n">
        <v>806</v>
      </c>
      <c r="K78" s="5" t="n">
        <v>110</v>
      </c>
      <c r="L78" s="5" t="n">
        <v>224</v>
      </c>
      <c r="M78" s="5" t="n">
        <v>4.9</v>
      </c>
      <c r="N78" s="9" t="s">
        <v>54</v>
      </c>
      <c r="O78" s="5"/>
      <c r="P78" s="5" t="s">
        <v>316</v>
      </c>
      <c r="Q78" s="14" t="s">
        <v>317</v>
      </c>
      <c r="R78" s="7" t="n">
        <v>2230</v>
      </c>
      <c r="S78" s="7" t="n">
        <v>0</v>
      </c>
      <c r="T78" s="5" t="s">
        <v>318</v>
      </c>
      <c r="U78" s="6" t="n">
        <v>688234.45</v>
      </c>
      <c r="V78" s="7" t="n">
        <v>70818</v>
      </c>
      <c r="W78" s="5" t="n">
        <v>593</v>
      </c>
      <c r="X78" s="7" t="n">
        <v>5972</v>
      </c>
      <c r="Y78" s="7" t="n">
        <v>9987</v>
      </c>
      <c r="Z78" s="7" t="n">
        <v>1414</v>
      </c>
      <c r="AA78" s="10" t="n">
        <v>1.31</v>
      </c>
      <c r="AB78" s="11" t="n">
        <v>43.95</v>
      </c>
      <c r="AC78" s="10" t="n">
        <v>15.08</v>
      </c>
      <c r="AD78" s="12" t="n">
        <v>0.75</v>
      </c>
      <c r="AE78" s="12" t="n">
        <v>0.91</v>
      </c>
      <c r="AF78" s="12" t="n">
        <v>1</v>
      </c>
      <c r="AG78" s="7" t="n">
        <v>303</v>
      </c>
      <c r="AH78" s="7" t="n">
        <v>1797</v>
      </c>
      <c r="AI78" s="5" t="s">
        <v>319</v>
      </c>
    </row>
    <row r="79" customFormat="false" ht="15" hidden="false" customHeight="false" outlineLevel="0" collapsed="false">
      <c r="A79" s="5" t="s">
        <v>89</v>
      </c>
      <c r="B79" s="5" t="s">
        <v>320</v>
      </c>
      <c r="C79" s="5"/>
      <c r="D79" s="5" t="s">
        <v>89</v>
      </c>
      <c r="E79" s="5" t="s">
        <v>60</v>
      </c>
      <c r="F79" s="6" t="n">
        <v>21996.37</v>
      </c>
      <c r="G79" s="7" t="n">
        <v>1105</v>
      </c>
      <c r="H79" s="8" t="n">
        <v>0.1276</v>
      </c>
      <c r="I79" s="8" t="n">
        <v>0.0464</v>
      </c>
      <c r="J79" s="7" t="n">
        <v>199</v>
      </c>
      <c r="K79" s="5" t="n">
        <v>13</v>
      </c>
      <c r="L79" s="5" t="n">
        <v>34</v>
      </c>
      <c r="M79" s="5" t="n">
        <v>4</v>
      </c>
      <c r="N79" s="9" t="s">
        <v>54</v>
      </c>
      <c r="O79" s="5"/>
      <c r="P79" s="5"/>
      <c r="Q79" s="5"/>
      <c r="R79" s="7"/>
      <c r="S79" s="7"/>
      <c r="T79" s="5"/>
      <c r="U79" s="6"/>
      <c r="V79" s="7"/>
      <c r="W79" s="5"/>
      <c r="X79" s="7"/>
      <c r="Y79" s="7"/>
      <c r="Z79" s="7"/>
      <c r="AA79" s="10"/>
      <c r="AB79" s="11"/>
      <c r="AC79" s="10"/>
      <c r="AD79" s="12"/>
      <c r="AE79" s="12"/>
      <c r="AF79" s="12"/>
      <c r="AG79" s="7"/>
      <c r="AH79" s="7"/>
      <c r="AI79" s="5" t="s">
        <v>321</v>
      </c>
    </row>
    <row r="80" customFormat="false" ht="15" hidden="false" customHeight="false" outlineLevel="0" collapsed="false">
      <c r="A80" s="5" t="s">
        <v>89</v>
      </c>
      <c r="B80" s="5" t="s">
        <v>322</v>
      </c>
      <c r="C80" s="5" t="s">
        <v>323</v>
      </c>
      <c r="D80" s="5" t="s">
        <v>89</v>
      </c>
      <c r="E80" s="5" t="s">
        <v>60</v>
      </c>
      <c r="F80" s="6" t="n">
        <v>21798.83</v>
      </c>
      <c r="G80" s="7" t="n">
        <v>1150</v>
      </c>
      <c r="H80" s="8" t="n">
        <v>-0.3987</v>
      </c>
      <c r="I80" s="8" t="n">
        <v>-0.5376</v>
      </c>
      <c r="J80" s="7" t="n">
        <v>740</v>
      </c>
      <c r="K80" s="5" t="n">
        <v>31</v>
      </c>
      <c r="L80" s="5" t="n">
        <v>69</v>
      </c>
      <c r="M80" s="5" t="n">
        <v>3.9</v>
      </c>
      <c r="N80" s="9" t="s">
        <v>54</v>
      </c>
      <c r="O80" s="5"/>
      <c r="P80" s="5"/>
      <c r="Q80" s="5"/>
      <c r="R80" s="7"/>
      <c r="S80" s="7"/>
      <c r="T80" s="5"/>
      <c r="U80" s="6"/>
      <c r="V80" s="7"/>
      <c r="W80" s="5"/>
      <c r="X80" s="7"/>
      <c r="Y80" s="7"/>
      <c r="Z80" s="7"/>
      <c r="AA80" s="10"/>
      <c r="AB80" s="11"/>
      <c r="AC80" s="10"/>
      <c r="AD80" s="12"/>
      <c r="AE80" s="12"/>
      <c r="AF80" s="12"/>
      <c r="AG80" s="7"/>
      <c r="AH80" s="7"/>
      <c r="AI80" s="5" t="s">
        <v>324</v>
      </c>
    </row>
    <row r="81" customFormat="false" ht="15" hidden="false" customHeight="false" outlineLevel="0" collapsed="false">
      <c r="A81" s="5" t="s">
        <v>89</v>
      </c>
      <c r="B81" s="5" t="s">
        <v>325</v>
      </c>
      <c r="C81" s="5" t="s">
        <v>326</v>
      </c>
      <c r="D81" s="5" t="s">
        <v>89</v>
      </c>
      <c r="E81" s="5" t="s">
        <v>60</v>
      </c>
      <c r="F81" s="6" t="n">
        <v>21454.54</v>
      </c>
      <c r="G81" s="7" t="n">
        <v>231</v>
      </c>
      <c r="H81" s="8" t="n">
        <v>-0.3964</v>
      </c>
      <c r="I81" s="8" t="n">
        <v>-0.2116</v>
      </c>
      <c r="J81" s="7" t="n">
        <v>214</v>
      </c>
      <c r="K81" s="5" t="n">
        <v>7</v>
      </c>
      <c r="L81" s="5" t="n">
        <v>7</v>
      </c>
      <c r="M81" s="5" t="n">
        <v>4.1</v>
      </c>
      <c r="N81" s="9" t="s">
        <v>54</v>
      </c>
      <c r="O81" s="5"/>
      <c r="P81" s="5"/>
      <c r="Q81" s="5"/>
      <c r="R81" s="7"/>
      <c r="S81" s="7"/>
      <c r="T81" s="5"/>
      <c r="U81" s="6"/>
      <c r="V81" s="7"/>
      <c r="W81" s="5"/>
      <c r="X81" s="7"/>
      <c r="Y81" s="7"/>
      <c r="Z81" s="7"/>
      <c r="AA81" s="10"/>
      <c r="AB81" s="11"/>
      <c r="AC81" s="10"/>
      <c r="AD81" s="12"/>
      <c r="AE81" s="12"/>
      <c r="AF81" s="12"/>
      <c r="AG81" s="7"/>
      <c r="AH81" s="7"/>
      <c r="AI81" s="5" t="s">
        <v>327</v>
      </c>
    </row>
    <row r="82" customFormat="false" ht="15" hidden="false" customHeight="false" outlineLevel="0" collapsed="false">
      <c r="A82" s="5" t="s">
        <v>89</v>
      </c>
      <c r="B82" s="5" t="s">
        <v>328</v>
      </c>
      <c r="C82" s="5" t="s">
        <v>329</v>
      </c>
      <c r="D82" s="5" t="s">
        <v>89</v>
      </c>
      <c r="E82" s="5" t="s">
        <v>60</v>
      </c>
      <c r="F82" s="6" t="n">
        <v>21305.54</v>
      </c>
      <c r="G82" s="7" t="n">
        <v>1094</v>
      </c>
      <c r="H82" s="8" t="n">
        <v>42.1337</v>
      </c>
      <c r="I82" s="8" t="n">
        <v>41.0769</v>
      </c>
      <c r="J82" s="7" t="n">
        <v>113</v>
      </c>
      <c r="K82" s="5" t="n">
        <v>2</v>
      </c>
      <c r="L82" s="5" t="n">
        <v>16</v>
      </c>
      <c r="M82" s="5" t="n">
        <v>4.3</v>
      </c>
      <c r="N82" s="9" t="s">
        <v>54</v>
      </c>
      <c r="O82" s="5"/>
      <c r="P82" s="5"/>
      <c r="Q82" s="5"/>
      <c r="R82" s="7"/>
      <c r="S82" s="7"/>
      <c r="T82" s="5"/>
      <c r="U82" s="6"/>
      <c r="V82" s="7"/>
      <c r="W82" s="5"/>
      <c r="X82" s="7"/>
      <c r="Y82" s="7"/>
      <c r="Z82" s="7"/>
      <c r="AA82" s="10"/>
      <c r="AB82" s="11"/>
      <c r="AC82" s="10"/>
      <c r="AD82" s="12"/>
      <c r="AE82" s="12"/>
      <c r="AF82" s="12"/>
      <c r="AG82" s="7"/>
      <c r="AH82" s="7"/>
      <c r="AI82" s="5" t="s">
        <v>330</v>
      </c>
    </row>
    <row r="83" customFormat="false" ht="15" hidden="false" customHeight="false" outlineLevel="0" collapsed="false">
      <c r="A83" s="5" t="s">
        <v>89</v>
      </c>
      <c r="B83" s="5" t="s">
        <v>331</v>
      </c>
      <c r="C83" s="5" t="s">
        <v>332</v>
      </c>
      <c r="D83" s="5" t="s">
        <v>89</v>
      </c>
      <c r="E83" s="5" t="s">
        <v>53</v>
      </c>
      <c r="F83" s="6" t="n">
        <v>21151.78</v>
      </c>
      <c r="G83" s="7" t="n">
        <v>904</v>
      </c>
      <c r="H83" s="8" t="n">
        <v>18.0385</v>
      </c>
      <c r="I83" s="8" t="n">
        <v>17.8333</v>
      </c>
      <c r="J83" s="7" t="n">
        <v>22</v>
      </c>
      <c r="K83" s="5" t="n">
        <v>5</v>
      </c>
      <c r="L83" s="5" t="n">
        <v>23</v>
      </c>
      <c r="M83" s="5" t="n">
        <v>3.7</v>
      </c>
      <c r="N83" s="13" t="s">
        <v>61</v>
      </c>
      <c r="O83" s="5" t="s">
        <v>333</v>
      </c>
      <c r="P83" s="5"/>
      <c r="Q83" s="5"/>
      <c r="R83" s="7"/>
      <c r="S83" s="7"/>
      <c r="T83" s="5"/>
      <c r="U83" s="6"/>
      <c r="V83" s="7"/>
      <c r="W83" s="5"/>
      <c r="X83" s="7"/>
      <c r="Y83" s="7"/>
      <c r="Z83" s="7"/>
      <c r="AA83" s="10"/>
      <c r="AB83" s="11"/>
      <c r="AC83" s="10"/>
      <c r="AD83" s="12"/>
      <c r="AE83" s="12"/>
      <c r="AF83" s="12"/>
      <c r="AG83" s="7"/>
      <c r="AH83" s="7"/>
      <c r="AI83" s="5" t="s">
        <v>334</v>
      </c>
    </row>
    <row r="84" customFormat="false" ht="15" hidden="false" customHeight="false" outlineLevel="0" collapsed="false">
      <c r="A84" s="5" t="s">
        <v>89</v>
      </c>
      <c r="B84" s="5" t="s">
        <v>335</v>
      </c>
      <c r="C84" s="5"/>
      <c r="D84" s="5" t="s">
        <v>89</v>
      </c>
      <c r="E84" s="5" t="s">
        <v>60</v>
      </c>
      <c r="F84" s="6" t="n">
        <v>21097.84</v>
      </c>
      <c r="G84" s="7" t="n">
        <v>1201</v>
      </c>
      <c r="H84" s="8" t="n">
        <v>-0.2446</v>
      </c>
      <c r="I84" s="8" t="n">
        <v>-0.2914</v>
      </c>
      <c r="J84" s="7" t="n">
        <v>495</v>
      </c>
      <c r="K84" s="5" t="n">
        <v>13</v>
      </c>
      <c r="L84" s="5" t="n">
        <v>16</v>
      </c>
      <c r="M84" s="5" t="n">
        <v>4.7</v>
      </c>
      <c r="N84" s="9" t="s">
        <v>54</v>
      </c>
      <c r="O84" s="5"/>
      <c r="P84" s="5"/>
      <c r="Q84" s="5"/>
      <c r="R84" s="7"/>
      <c r="S84" s="7"/>
      <c r="T84" s="5"/>
      <c r="U84" s="6"/>
      <c r="V84" s="7"/>
      <c r="W84" s="5"/>
      <c r="X84" s="7"/>
      <c r="Y84" s="7"/>
      <c r="Z84" s="7"/>
      <c r="AA84" s="10"/>
      <c r="AB84" s="11"/>
      <c r="AC84" s="10"/>
      <c r="AD84" s="12"/>
      <c r="AE84" s="12"/>
      <c r="AF84" s="12"/>
      <c r="AG84" s="7"/>
      <c r="AH84" s="7"/>
      <c r="AI84" s="5" t="s">
        <v>336</v>
      </c>
    </row>
    <row r="85" customFormat="false" ht="15" hidden="false" customHeight="false" outlineLevel="0" collapsed="false">
      <c r="A85" s="5" t="s">
        <v>89</v>
      </c>
      <c r="B85" s="5" t="s">
        <v>337</v>
      </c>
      <c r="C85" s="5" t="s">
        <v>338</v>
      </c>
      <c r="D85" s="5" t="s">
        <v>89</v>
      </c>
      <c r="E85" s="5" t="s">
        <v>60</v>
      </c>
      <c r="F85" s="6" t="n">
        <v>20917.4</v>
      </c>
      <c r="G85" s="7" t="n">
        <v>2224</v>
      </c>
      <c r="H85" s="8" t="n">
        <v>-0.2581</v>
      </c>
      <c r="I85" s="8" t="n">
        <v>-0.3163</v>
      </c>
      <c r="J85" s="7" t="n">
        <v>615</v>
      </c>
      <c r="K85" s="5" t="n">
        <v>1</v>
      </c>
      <c r="L85" s="5" t="n">
        <v>1</v>
      </c>
      <c r="M85" s="5" t="n">
        <v>4.9</v>
      </c>
      <c r="N85" s="9" t="s">
        <v>54</v>
      </c>
      <c r="O85" s="5"/>
      <c r="P85" s="5"/>
      <c r="Q85" s="5"/>
      <c r="R85" s="7"/>
      <c r="S85" s="7"/>
      <c r="T85" s="5"/>
      <c r="U85" s="6"/>
      <c r="V85" s="7"/>
      <c r="W85" s="5"/>
      <c r="X85" s="7"/>
      <c r="Y85" s="7"/>
      <c r="Z85" s="7"/>
      <c r="AA85" s="10"/>
      <c r="AB85" s="11"/>
      <c r="AC85" s="10"/>
      <c r="AD85" s="12"/>
      <c r="AE85" s="12"/>
      <c r="AF85" s="12"/>
      <c r="AG85" s="7"/>
      <c r="AH85" s="7"/>
      <c r="AI85" s="5" t="s">
        <v>339</v>
      </c>
    </row>
    <row r="86" customFormat="false" ht="15" hidden="false" customHeight="false" outlineLevel="0" collapsed="false">
      <c r="A86" s="5" t="s">
        <v>89</v>
      </c>
      <c r="B86" s="5" t="s">
        <v>340</v>
      </c>
      <c r="C86" s="5"/>
      <c r="D86" s="5" t="s">
        <v>341</v>
      </c>
      <c r="E86" s="5" t="s">
        <v>53</v>
      </c>
      <c r="F86" s="6" t="n">
        <v>12454.15</v>
      </c>
      <c r="G86" s="7" t="n">
        <v>908</v>
      </c>
      <c r="H86" s="8" t="n">
        <v>-0.2428</v>
      </c>
      <c r="I86" s="8" t="n">
        <v>-0.0668</v>
      </c>
      <c r="J86" s="7" t="n">
        <v>19</v>
      </c>
      <c r="K86" s="5" t="n">
        <v>4</v>
      </c>
      <c r="L86" s="5" t="n">
        <v>119</v>
      </c>
      <c r="M86" s="5" t="n">
        <v>4.2</v>
      </c>
      <c r="N86" s="13" t="s">
        <v>61</v>
      </c>
      <c r="O86" s="5" t="s">
        <v>342</v>
      </c>
      <c r="P86" s="5"/>
      <c r="Q86" s="5"/>
      <c r="R86" s="7"/>
      <c r="S86" s="7"/>
      <c r="T86" s="5"/>
      <c r="U86" s="6"/>
      <c r="V86" s="7"/>
      <c r="W86" s="5"/>
      <c r="X86" s="7"/>
      <c r="Y86" s="7"/>
      <c r="Z86" s="7"/>
      <c r="AA86" s="10"/>
      <c r="AB86" s="11"/>
      <c r="AC86" s="10"/>
      <c r="AD86" s="12"/>
      <c r="AE86" s="12"/>
      <c r="AF86" s="12"/>
      <c r="AG86" s="7"/>
      <c r="AH86" s="7"/>
      <c r="AI86" s="5" t="s">
        <v>343</v>
      </c>
    </row>
    <row r="87" customFormat="false" ht="15" hidden="false" customHeight="false" outlineLevel="0" collapsed="false">
      <c r="A87" s="5" t="s">
        <v>344</v>
      </c>
      <c r="B87" s="5" t="s">
        <v>345</v>
      </c>
      <c r="C87" s="5"/>
      <c r="D87" s="5" t="s">
        <v>344</v>
      </c>
      <c r="E87" s="5" t="s">
        <v>60</v>
      </c>
      <c r="F87" s="6" t="n">
        <v>28832.46</v>
      </c>
      <c r="G87" s="7" t="n">
        <v>1860</v>
      </c>
      <c r="H87" s="8" t="n">
        <v>-0.277</v>
      </c>
      <c r="I87" s="8" t="n">
        <v>-0.3643</v>
      </c>
      <c r="J87" s="7" t="n">
        <v>1379</v>
      </c>
      <c r="K87" s="5" t="n">
        <v>52</v>
      </c>
      <c r="L87" s="5" t="n">
        <v>67</v>
      </c>
      <c r="M87" s="5" t="n">
        <v>4.6</v>
      </c>
      <c r="N87" s="9" t="s">
        <v>54</v>
      </c>
      <c r="O87" s="5"/>
      <c r="P87" s="5" t="s">
        <v>346</v>
      </c>
      <c r="Q87" s="14" t="s">
        <v>347</v>
      </c>
      <c r="R87" s="7" t="n">
        <v>9091</v>
      </c>
      <c r="S87" s="7" t="n">
        <v>307</v>
      </c>
      <c r="T87" s="5" t="s">
        <v>69</v>
      </c>
      <c r="U87" s="6" t="n">
        <v>560773.91</v>
      </c>
      <c r="V87" s="7" t="n">
        <v>39376</v>
      </c>
      <c r="W87" s="5" t="n">
        <v>264</v>
      </c>
      <c r="X87" s="7" t="n">
        <v>2</v>
      </c>
      <c r="Y87" s="7" t="n">
        <v>30</v>
      </c>
      <c r="Z87" s="7" t="n">
        <v>453</v>
      </c>
      <c r="AA87" s="10" t="n">
        <v>0.99</v>
      </c>
      <c r="AB87" s="11" t="n">
        <v>482.09</v>
      </c>
      <c r="AC87" s="10" t="n">
        <v>12.27</v>
      </c>
      <c r="AD87" s="12" t="n">
        <v>0.86</v>
      </c>
      <c r="AE87" s="12" t="n">
        <v>1</v>
      </c>
      <c r="AF87" s="12" t="n">
        <v>0.75</v>
      </c>
      <c r="AG87" s="7" t="n">
        <v>42</v>
      </c>
      <c r="AH87" s="7" t="n">
        <v>1676</v>
      </c>
      <c r="AI87" s="5" t="s">
        <v>348</v>
      </c>
    </row>
    <row r="88" customFormat="false" ht="15" hidden="false" customHeight="false" outlineLevel="0" collapsed="false">
      <c r="A88" s="5" t="s">
        <v>344</v>
      </c>
      <c r="B88" s="5" t="s">
        <v>349</v>
      </c>
      <c r="C88" s="5" t="s">
        <v>350</v>
      </c>
      <c r="D88" s="5" t="s">
        <v>344</v>
      </c>
      <c r="E88" s="5" t="s">
        <v>60</v>
      </c>
      <c r="F88" s="6" t="n">
        <v>27136.58</v>
      </c>
      <c r="G88" s="7" t="n">
        <v>2745</v>
      </c>
      <c r="H88" s="8" t="n">
        <v>-0.3119</v>
      </c>
      <c r="I88" s="8" t="n">
        <v>-0.3517</v>
      </c>
      <c r="J88" s="7" t="n">
        <v>108</v>
      </c>
      <c r="K88" s="5" t="n">
        <v>15</v>
      </c>
      <c r="L88" s="5" t="n">
        <v>15</v>
      </c>
      <c r="M88" s="5" t="n">
        <v>4.9</v>
      </c>
      <c r="N88" s="9" t="s">
        <v>54</v>
      </c>
      <c r="O88" s="5"/>
      <c r="P88" s="5"/>
      <c r="Q88" s="5"/>
      <c r="R88" s="7"/>
      <c r="S88" s="7"/>
      <c r="T88" s="5"/>
      <c r="U88" s="6"/>
      <c r="V88" s="7"/>
      <c r="W88" s="5"/>
      <c r="X88" s="7"/>
      <c r="Y88" s="7"/>
      <c r="Z88" s="7"/>
      <c r="AA88" s="10"/>
      <c r="AB88" s="11"/>
      <c r="AC88" s="10"/>
      <c r="AD88" s="12"/>
      <c r="AE88" s="12"/>
      <c r="AF88" s="12"/>
      <c r="AG88" s="7"/>
      <c r="AH88" s="7"/>
      <c r="AI88" s="5" t="s">
        <v>351</v>
      </c>
    </row>
    <row r="89" customFormat="false" ht="15" hidden="false" customHeight="false" outlineLevel="0" collapsed="false">
      <c r="A89" s="5" t="s">
        <v>344</v>
      </c>
      <c r="B89" s="5" t="s">
        <v>352</v>
      </c>
      <c r="C89" s="5"/>
      <c r="D89" s="5" t="s">
        <v>344</v>
      </c>
      <c r="E89" s="5" t="s">
        <v>60</v>
      </c>
      <c r="F89" s="6" t="n">
        <v>26674.99</v>
      </c>
      <c r="G89" s="7" t="n">
        <v>269</v>
      </c>
      <c r="H89" s="8" t="n">
        <v>72.9349</v>
      </c>
      <c r="I89" s="8" t="n">
        <v>9.3462</v>
      </c>
      <c r="J89" s="7" t="n">
        <v>94</v>
      </c>
      <c r="K89" s="5" t="n">
        <v>20</v>
      </c>
      <c r="L89" s="5" t="n">
        <v>4</v>
      </c>
      <c r="M89" s="5" t="n">
        <v>4.3</v>
      </c>
      <c r="N89" s="9" t="s">
        <v>54</v>
      </c>
      <c r="O89" s="5"/>
      <c r="P89" s="5"/>
      <c r="Q89" s="5"/>
      <c r="R89" s="7"/>
      <c r="S89" s="7"/>
      <c r="T89" s="5"/>
      <c r="U89" s="6"/>
      <c r="V89" s="7"/>
      <c r="W89" s="5"/>
      <c r="X89" s="7"/>
      <c r="Y89" s="7"/>
      <c r="Z89" s="7"/>
      <c r="AA89" s="10"/>
      <c r="AB89" s="11"/>
      <c r="AC89" s="10"/>
      <c r="AD89" s="12"/>
      <c r="AE89" s="12"/>
      <c r="AF89" s="12"/>
      <c r="AG89" s="7"/>
      <c r="AH89" s="7"/>
      <c r="AI89" s="5" t="s">
        <v>353</v>
      </c>
    </row>
    <row r="90" customFormat="false" ht="15" hidden="false" customHeight="false" outlineLevel="0" collapsed="false">
      <c r="A90" s="5" t="s">
        <v>344</v>
      </c>
      <c r="B90" s="5" t="s">
        <v>354</v>
      </c>
      <c r="C90" s="5" t="s">
        <v>354</v>
      </c>
      <c r="D90" s="5" t="s">
        <v>344</v>
      </c>
      <c r="E90" s="5" t="s">
        <v>60</v>
      </c>
      <c r="F90" s="6" t="n">
        <v>25711.72</v>
      </c>
      <c r="G90" s="7" t="n">
        <v>462</v>
      </c>
      <c r="H90" s="8" t="n">
        <v>-0.0363</v>
      </c>
      <c r="I90" s="8" t="n">
        <v>-0.352</v>
      </c>
      <c r="J90" s="7" t="n">
        <v>239</v>
      </c>
      <c r="K90" s="5" t="n">
        <v>12</v>
      </c>
      <c r="L90" s="5" t="n">
        <v>21</v>
      </c>
      <c r="M90" s="5" t="n">
        <v>4.6</v>
      </c>
      <c r="N90" s="9" t="s">
        <v>54</v>
      </c>
      <c r="O90" s="5"/>
      <c r="P90" s="5"/>
      <c r="Q90" s="5"/>
      <c r="R90" s="7"/>
      <c r="S90" s="7"/>
      <c r="T90" s="5"/>
      <c r="U90" s="6"/>
      <c r="V90" s="7"/>
      <c r="W90" s="5"/>
      <c r="X90" s="7"/>
      <c r="Y90" s="7"/>
      <c r="Z90" s="7"/>
      <c r="AA90" s="10"/>
      <c r="AB90" s="11"/>
      <c r="AC90" s="10"/>
      <c r="AD90" s="12"/>
      <c r="AE90" s="12"/>
      <c r="AF90" s="12"/>
      <c r="AG90" s="7"/>
      <c r="AH90" s="7"/>
      <c r="AI90" s="5" t="s">
        <v>355</v>
      </c>
    </row>
    <row r="91" customFormat="false" ht="15" hidden="false" customHeight="false" outlineLevel="0" collapsed="false">
      <c r="A91" s="5" t="s">
        <v>344</v>
      </c>
      <c r="B91" s="5" t="s">
        <v>356</v>
      </c>
      <c r="C91" s="5"/>
      <c r="D91" s="5" t="s">
        <v>344</v>
      </c>
      <c r="E91" s="5" t="s">
        <v>60</v>
      </c>
      <c r="F91" s="6" t="n">
        <v>25181.99</v>
      </c>
      <c r="G91" s="7" t="n">
        <v>347</v>
      </c>
      <c r="H91" s="8" t="n">
        <v>-0.3614</v>
      </c>
      <c r="I91" s="8" t="n">
        <v>-0.0467</v>
      </c>
      <c r="J91" s="7" t="n">
        <v>126</v>
      </c>
      <c r="K91" s="5" t="n">
        <v>19</v>
      </c>
      <c r="L91" s="5" t="n">
        <v>13</v>
      </c>
      <c r="M91" s="5" t="n">
        <v>4.8</v>
      </c>
      <c r="N91" s="9" t="s">
        <v>54</v>
      </c>
      <c r="O91" s="5"/>
      <c r="P91" s="5"/>
      <c r="Q91" s="5"/>
      <c r="R91" s="7"/>
      <c r="S91" s="7"/>
      <c r="T91" s="5"/>
      <c r="U91" s="6"/>
      <c r="V91" s="7"/>
      <c r="W91" s="5"/>
      <c r="X91" s="7"/>
      <c r="Y91" s="7"/>
      <c r="Z91" s="7"/>
      <c r="AA91" s="10"/>
      <c r="AB91" s="11"/>
      <c r="AC91" s="10"/>
      <c r="AD91" s="12"/>
      <c r="AE91" s="12"/>
      <c r="AF91" s="12"/>
      <c r="AG91" s="7"/>
      <c r="AH91" s="7"/>
      <c r="AI91" s="5" t="s">
        <v>357</v>
      </c>
    </row>
    <row r="92" customFormat="false" ht="15" hidden="false" customHeight="false" outlineLevel="0" collapsed="false">
      <c r="A92" s="5" t="s">
        <v>344</v>
      </c>
      <c r="B92" s="5" t="s">
        <v>358</v>
      </c>
      <c r="C92" s="5" t="s">
        <v>358</v>
      </c>
      <c r="D92" s="5" t="s">
        <v>344</v>
      </c>
      <c r="E92" s="5" t="s">
        <v>60</v>
      </c>
      <c r="F92" s="6" t="n">
        <v>24750.47</v>
      </c>
      <c r="G92" s="7" t="n">
        <v>1441</v>
      </c>
      <c r="H92" s="8" t="n">
        <v>-0.3806</v>
      </c>
      <c r="I92" s="8" t="n">
        <v>-0.3184</v>
      </c>
      <c r="J92" s="7" t="n">
        <v>1987</v>
      </c>
      <c r="K92" s="5" t="n">
        <v>79</v>
      </c>
      <c r="L92" s="5" t="n">
        <v>146</v>
      </c>
      <c r="M92" s="5" t="n">
        <v>4.7</v>
      </c>
      <c r="N92" s="9" t="s">
        <v>54</v>
      </c>
      <c r="O92" s="5"/>
      <c r="P92" s="5" t="s">
        <v>359</v>
      </c>
      <c r="Q92" s="14" t="s">
        <v>360</v>
      </c>
      <c r="R92" s="7" t="n">
        <v>34625</v>
      </c>
      <c r="S92" s="7" t="n">
        <v>291</v>
      </c>
      <c r="T92" s="5" t="s">
        <v>361</v>
      </c>
      <c r="U92" s="6" t="n">
        <v>2625518.8</v>
      </c>
      <c r="V92" s="7" t="n">
        <v>187799</v>
      </c>
      <c r="W92" s="5" t="n">
        <v>550</v>
      </c>
      <c r="X92" s="7" t="n">
        <v>1</v>
      </c>
      <c r="Y92" s="7" t="n">
        <v>93</v>
      </c>
      <c r="Z92" s="7" t="n">
        <v>523</v>
      </c>
      <c r="AA92" s="10" t="n">
        <v>1</v>
      </c>
      <c r="AB92" s="11" t="n">
        <v>1369.99</v>
      </c>
      <c r="AC92" s="10" t="n">
        <v>25.41</v>
      </c>
      <c r="AD92" s="12" t="n">
        <v>0.92</v>
      </c>
      <c r="AE92" s="12" t="n">
        <v>1</v>
      </c>
      <c r="AF92" s="12" t="n">
        <v>1</v>
      </c>
      <c r="AG92" s="7" t="n">
        <v>41</v>
      </c>
      <c r="AH92" s="7" t="n">
        <v>1658</v>
      </c>
      <c r="AI92" s="5" t="s">
        <v>362</v>
      </c>
    </row>
    <row r="93" customFormat="false" ht="15" hidden="false" customHeight="false" outlineLevel="0" collapsed="false">
      <c r="A93" s="5" t="s">
        <v>344</v>
      </c>
      <c r="B93" s="5" t="s">
        <v>363</v>
      </c>
      <c r="C93" s="5" t="s">
        <v>363</v>
      </c>
      <c r="D93" s="5" t="s">
        <v>344</v>
      </c>
      <c r="E93" s="5" t="s">
        <v>60</v>
      </c>
      <c r="F93" s="6" t="n">
        <v>24071.35</v>
      </c>
      <c r="G93" s="7" t="n">
        <v>750</v>
      </c>
      <c r="H93" s="8" t="n">
        <v>0.7263</v>
      </c>
      <c r="I93" s="8" t="n">
        <v>0.4911</v>
      </c>
      <c r="J93" s="7" t="n">
        <v>32</v>
      </c>
      <c r="K93" s="5" t="n">
        <v>6</v>
      </c>
      <c r="L93" s="5" t="n">
        <v>20</v>
      </c>
      <c r="M93" s="5" t="n">
        <v>4.2</v>
      </c>
      <c r="N93" s="9" t="s">
        <v>54</v>
      </c>
      <c r="O93" s="5"/>
      <c r="P93" s="5"/>
      <c r="Q93" s="5"/>
      <c r="R93" s="7"/>
      <c r="S93" s="7"/>
      <c r="T93" s="5"/>
      <c r="U93" s="6"/>
      <c r="V93" s="7"/>
      <c r="W93" s="5"/>
      <c r="X93" s="7"/>
      <c r="Y93" s="7"/>
      <c r="Z93" s="7"/>
      <c r="AA93" s="10"/>
      <c r="AB93" s="11"/>
      <c r="AC93" s="10"/>
      <c r="AD93" s="12"/>
      <c r="AE93" s="12"/>
      <c r="AF93" s="12"/>
      <c r="AG93" s="7"/>
      <c r="AH93" s="7"/>
      <c r="AI93" s="5" t="s">
        <v>364</v>
      </c>
    </row>
    <row r="94" customFormat="false" ht="15" hidden="false" customHeight="false" outlineLevel="0" collapsed="false">
      <c r="A94" s="5" t="s">
        <v>344</v>
      </c>
      <c r="B94" s="5" t="s">
        <v>365</v>
      </c>
      <c r="C94" s="5"/>
      <c r="D94" s="5" t="s">
        <v>344</v>
      </c>
      <c r="E94" s="5" t="s">
        <v>60</v>
      </c>
      <c r="F94" s="6" t="n">
        <v>23801.37</v>
      </c>
      <c r="G94" s="7" t="n">
        <v>740</v>
      </c>
      <c r="H94" s="8" t="n">
        <v>8.9413</v>
      </c>
      <c r="I94" s="8" t="n">
        <v>5.0656</v>
      </c>
      <c r="J94" s="7" t="n">
        <v>259</v>
      </c>
      <c r="K94" s="5" t="n">
        <v>27</v>
      </c>
      <c r="L94" s="5" t="n">
        <v>46</v>
      </c>
      <c r="M94" s="5" t="n">
        <v>4.8</v>
      </c>
      <c r="N94" s="9" t="s">
        <v>54</v>
      </c>
      <c r="O94" s="5"/>
      <c r="P94" s="5"/>
      <c r="Q94" s="5"/>
      <c r="R94" s="7"/>
      <c r="S94" s="7"/>
      <c r="T94" s="5"/>
      <c r="U94" s="6"/>
      <c r="V94" s="7"/>
      <c r="W94" s="5"/>
      <c r="X94" s="7"/>
      <c r="Y94" s="7"/>
      <c r="Z94" s="7"/>
      <c r="AA94" s="10"/>
      <c r="AB94" s="11"/>
      <c r="AC94" s="10"/>
      <c r="AD94" s="12"/>
      <c r="AE94" s="12"/>
      <c r="AF94" s="12"/>
      <c r="AG94" s="7"/>
      <c r="AH94" s="7"/>
      <c r="AI94" s="5" t="s">
        <v>366</v>
      </c>
    </row>
    <row r="95" customFormat="false" ht="15" hidden="false" customHeight="false" outlineLevel="0" collapsed="false">
      <c r="A95" s="5" t="s">
        <v>344</v>
      </c>
      <c r="B95" s="5" t="s">
        <v>367</v>
      </c>
      <c r="C95" s="5"/>
      <c r="D95" s="5" t="s">
        <v>344</v>
      </c>
      <c r="E95" s="5" t="s">
        <v>60</v>
      </c>
      <c r="F95" s="6" t="n">
        <v>23257.54</v>
      </c>
      <c r="G95" s="7" t="n">
        <v>582</v>
      </c>
      <c r="H95" s="8" t="n">
        <v>0.25</v>
      </c>
      <c r="I95" s="8" t="n">
        <v>-0.251</v>
      </c>
      <c r="J95" s="7" t="n">
        <v>313</v>
      </c>
      <c r="K95" s="5" t="n">
        <v>27</v>
      </c>
      <c r="L95" s="5" t="n">
        <v>31</v>
      </c>
      <c r="M95" s="5" t="n">
        <v>4.5</v>
      </c>
      <c r="N95" s="9" t="s">
        <v>54</v>
      </c>
      <c r="O95" s="5" t="s">
        <v>258</v>
      </c>
      <c r="P95" s="5"/>
      <c r="Q95" s="5"/>
      <c r="R95" s="7"/>
      <c r="S95" s="7"/>
      <c r="T95" s="5" t="s">
        <v>368</v>
      </c>
      <c r="U95" s="6" t="n">
        <v>138486.49</v>
      </c>
      <c r="V95" s="7" t="n">
        <v>5372</v>
      </c>
      <c r="W95" s="5" t="n">
        <v>105</v>
      </c>
      <c r="X95" s="7" t="n">
        <v>10</v>
      </c>
      <c r="Y95" s="7" t="n">
        <v>37</v>
      </c>
      <c r="Z95" s="7" t="n">
        <v>33</v>
      </c>
      <c r="AA95" s="10" t="n">
        <v>1</v>
      </c>
      <c r="AB95" s="11" t="n">
        <v>2000</v>
      </c>
      <c r="AC95" s="10"/>
      <c r="AD95" s="12"/>
      <c r="AE95" s="12"/>
      <c r="AF95" s="12"/>
      <c r="AG95" s="7" t="n">
        <v>43</v>
      </c>
      <c r="AH95" s="7" t="n">
        <v>1701</v>
      </c>
      <c r="AI95" s="5" t="s">
        <v>369</v>
      </c>
    </row>
    <row r="96" customFormat="false" ht="15" hidden="false" customHeight="false" outlineLevel="0" collapsed="false">
      <c r="A96" s="5" t="s">
        <v>344</v>
      </c>
      <c r="B96" s="5" t="s">
        <v>370</v>
      </c>
      <c r="C96" s="5"/>
      <c r="D96" s="5" t="s">
        <v>344</v>
      </c>
      <c r="E96" s="5" t="s">
        <v>53</v>
      </c>
      <c r="F96" s="6" t="n">
        <v>23004.9</v>
      </c>
      <c r="G96" s="7" t="n">
        <v>510</v>
      </c>
      <c r="H96" s="8" t="n">
        <v>1.084</v>
      </c>
      <c r="I96" s="8" t="n">
        <v>-0.0377</v>
      </c>
      <c r="J96" s="7" t="n">
        <v>295</v>
      </c>
      <c r="K96" s="5" t="n">
        <v>28</v>
      </c>
      <c r="L96" s="5" t="n">
        <v>61</v>
      </c>
      <c r="M96" s="5" t="n">
        <v>3.5</v>
      </c>
      <c r="N96" s="9" t="s">
        <v>54</v>
      </c>
      <c r="O96" s="5"/>
      <c r="P96" s="5"/>
      <c r="Q96" s="5"/>
      <c r="R96" s="7"/>
      <c r="S96" s="7"/>
      <c r="T96" s="5"/>
      <c r="U96" s="6"/>
      <c r="V96" s="7"/>
      <c r="W96" s="5"/>
      <c r="X96" s="7"/>
      <c r="Y96" s="7"/>
      <c r="Z96" s="7"/>
      <c r="AA96" s="10"/>
      <c r="AB96" s="11"/>
      <c r="AC96" s="10"/>
      <c r="AD96" s="12"/>
      <c r="AE96" s="12"/>
      <c r="AF96" s="12"/>
      <c r="AG96" s="7"/>
      <c r="AH96" s="7"/>
      <c r="AI96" s="5" t="s">
        <v>371</v>
      </c>
    </row>
    <row r="97" customFormat="false" ht="15" hidden="false" customHeight="false" outlineLevel="0" collapsed="false">
      <c r="A97" s="5" t="s">
        <v>344</v>
      </c>
      <c r="B97" s="5" t="s">
        <v>372</v>
      </c>
      <c r="C97" s="5"/>
      <c r="D97" s="5" t="s">
        <v>344</v>
      </c>
      <c r="E97" s="5" t="s">
        <v>60</v>
      </c>
      <c r="F97" s="6" t="n">
        <v>22259.39</v>
      </c>
      <c r="G97" s="7" t="n">
        <v>994</v>
      </c>
      <c r="H97" s="8" t="n">
        <v>64.4911</v>
      </c>
      <c r="I97" s="8" t="n">
        <v>89.3636</v>
      </c>
      <c r="J97" s="7" t="n">
        <v>39</v>
      </c>
      <c r="K97" s="5" t="n">
        <v>10</v>
      </c>
      <c r="L97" s="5" t="n">
        <v>44</v>
      </c>
      <c r="M97" s="5" t="n">
        <v>4</v>
      </c>
      <c r="N97" s="9" t="s">
        <v>54</v>
      </c>
      <c r="O97" s="5"/>
      <c r="P97" s="5"/>
      <c r="Q97" s="5"/>
      <c r="R97" s="7"/>
      <c r="S97" s="7"/>
      <c r="T97" s="5"/>
      <c r="U97" s="6"/>
      <c r="V97" s="7"/>
      <c r="W97" s="5"/>
      <c r="X97" s="7"/>
      <c r="Y97" s="7"/>
      <c r="Z97" s="7"/>
      <c r="AA97" s="10"/>
      <c r="AB97" s="11"/>
      <c r="AC97" s="10"/>
      <c r="AD97" s="12"/>
      <c r="AE97" s="12"/>
      <c r="AF97" s="12"/>
      <c r="AG97" s="7"/>
      <c r="AH97" s="7"/>
      <c r="AI97" s="5" t="s">
        <v>373</v>
      </c>
    </row>
    <row r="98" customFormat="false" ht="15" hidden="false" customHeight="false" outlineLevel="0" collapsed="false">
      <c r="A98" s="5" t="s">
        <v>344</v>
      </c>
      <c r="B98" s="5" t="s">
        <v>374</v>
      </c>
      <c r="C98" s="5" t="s">
        <v>374</v>
      </c>
      <c r="D98" s="5" t="s">
        <v>344</v>
      </c>
      <c r="E98" s="5" t="s">
        <v>60</v>
      </c>
      <c r="F98" s="6" t="n">
        <v>22244.91</v>
      </c>
      <c r="G98" s="7" t="n">
        <v>507</v>
      </c>
      <c r="H98" s="8" t="n">
        <v>-0.0256</v>
      </c>
      <c r="I98" s="8" t="n">
        <v>-0.2271</v>
      </c>
      <c r="J98" s="7" t="n">
        <v>474</v>
      </c>
      <c r="K98" s="5" t="n">
        <v>35</v>
      </c>
      <c r="L98" s="5" t="n">
        <v>39</v>
      </c>
      <c r="M98" s="5" t="n">
        <v>4.7</v>
      </c>
      <c r="N98" s="9" t="s">
        <v>54</v>
      </c>
      <c r="O98" s="5"/>
      <c r="P98" s="5"/>
      <c r="Q98" s="5"/>
      <c r="R98" s="7"/>
      <c r="S98" s="7"/>
      <c r="T98" s="5"/>
      <c r="U98" s="6"/>
      <c r="V98" s="7"/>
      <c r="W98" s="5"/>
      <c r="X98" s="7"/>
      <c r="Y98" s="7"/>
      <c r="Z98" s="7"/>
      <c r="AA98" s="10"/>
      <c r="AB98" s="11"/>
      <c r="AC98" s="10"/>
      <c r="AD98" s="12"/>
      <c r="AE98" s="12"/>
      <c r="AF98" s="12"/>
      <c r="AG98" s="7"/>
      <c r="AH98" s="7"/>
      <c r="AI98" s="5" t="s">
        <v>375</v>
      </c>
    </row>
    <row r="99" customFormat="false" ht="15" hidden="false" customHeight="false" outlineLevel="0" collapsed="false">
      <c r="A99" s="5" t="s">
        <v>344</v>
      </c>
      <c r="B99" s="5" t="s">
        <v>376</v>
      </c>
      <c r="C99" s="5" t="s">
        <v>376</v>
      </c>
      <c r="D99" s="5" t="s">
        <v>344</v>
      </c>
      <c r="E99" s="5" t="s">
        <v>60</v>
      </c>
      <c r="F99" s="6" t="n">
        <v>20715.74</v>
      </c>
      <c r="G99" s="7" t="n">
        <v>1352</v>
      </c>
      <c r="H99" s="8" t="n">
        <v>-0.4392</v>
      </c>
      <c r="I99" s="8" t="n">
        <v>-0.4548</v>
      </c>
      <c r="J99" s="7" t="n">
        <v>1125</v>
      </c>
      <c r="K99" s="5" t="n">
        <v>50</v>
      </c>
      <c r="L99" s="5" t="n">
        <v>118</v>
      </c>
      <c r="M99" s="5" t="n">
        <v>4.7</v>
      </c>
      <c r="N99" s="9" t="s">
        <v>54</v>
      </c>
      <c r="O99" s="5"/>
      <c r="P99" s="5"/>
      <c r="Q99" s="5"/>
      <c r="R99" s="7"/>
      <c r="S99" s="7"/>
      <c r="T99" s="5"/>
      <c r="U99" s="6"/>
      <c r="V99" s="7"/>
      <c r="W99" s="5"/>
      <c r="X99" s="7"/>
      <c r="Y99" s="7"/>
      <c r="Z99" s="7"/>
      <c r="AA99" s="10"/>
      <c r="AB99" s="11"/>
      <c r="AC99" s="10"/>
      <c r="AD99" s="12"/>
      <c r="AE99" s="12"/>
      <c r="AF99" s="12"/>
      <c r="AG99" s="7"/>
      <c r="AH99" s="7"/>
      <c r="AI99" s="5" t="s">
        <v>377</v>
      </c>
    </row>
    <row r="100" customFormat="false" ht="15" hidden="false" customHeight="false" outlineLevel="0" collapsed="false">
      <c r="A100" s="5" t="s">
        <v>344</v>
      </c>
      <c r="B100" s="5" t="s">
        <v>378</v>
      </c>
      <c r="C100" s="5" t="s">
        <v>378</v>
      </c>
      <c r="D100" s="5" t="s">
        <v>344</v>
      </c>
      <c r="E100" s="5" t="s">
        <v>60</v>
      </c>
      <c r="F100" s="6" t="n">
        <v>20606.32</v>
      </c>
      <c r="G100" s="7" t="n">
        <v>750</v>
      </c>
      <c r="H100" s="8" t="n">
        <v>-0.5624</v>
      </c>
      <c r="I100" s="8" t="n">
        <v>-0.4395</v>
      </c>
      <c r="J100" s="7" t="n">
        <v>2249</v>
      </c>
      <c r="K100" s="5" t="n">
        <v>60</v>
      </c>
      <c r="L100" s="5" t="n">
        <v>108</v>
      </c>
      <c r="M100" s="5" t="n">
        <v>4.6</v>
      </c>
      <c r="N100" s="9" t="s">
        <v>54</v>
      </c>
      <c r="O100" s="5"/>
      <c r="P100" s="5" t="s">
        <v>379</v>
      </c>
      <c r="Q100" s="14" t="s">
        <v>380</v>
      </c>
      <c r="R100" s="7" t="n">
        <v>27411</v>
      </c>
      <c r="S100" s="7" t="n">
        <v>627</v>
      </c>
      <c r="T100" s="5" t="s">
        <v>381</v>
      </c>
      <c r="U100" s="6" t="n">
        <v>1523231.31</v>
      </c>
      <c r="V100" s="7" t="n">
        <v>98347</v>
      </c>
      <c r="W100" s="5" t="n">
        <v>918</v>
      </c>
      <c r="X100" s="7" t="n">
        <v>18</v>
      </c>
      <c r="Y100" s="7" t="n">
        <v>341</v>
      </c>
      <c r="Z100" s="7" t="n">
        <v>1090</v>
      </c>
      <c r="AA100" s="10" t="n">
        <v>0.3</v>
      </c>
      <c r="AB100" s="11" t="n">
        <v>2900</v>
      </c>
      <c r="AC100" s="10" t="n">
        <v>19.2</v>
      </c>
      <c r="AD100" s="12" t="n">
        <v>0.71</v>
      </c>
      <c r="AE100" s="12" t="n">
        <v>0.99</v>
      </c>
      <c r="AF100" s="12" t="n">
        <v>1</v>
      </c>
      <c r="AG100" s="7" t="n">
        <v>52</v>
      </c>
      <c r="AH100" s="7" t="n">
        <v>2092</v>
      </c>
      <c r="AI100" s="5" t="s">
        <v>382</v>
      </c>
    </row>
    <row r="101" customFormat="false" ht="15" hidden="false" customHeight="false" outlineLevel="0" collapsed="false">
      <c r="A101" s="5" t="s">
        <v>344</v>
      </c>
      <c r="B101" s="5" t="s">
        <v>383</v>
      </c>
      <c r="C101" s="5"/>
      <c r="D101" s="5" t="s">
        <v>344</v>
      </c>
      <c r="E101" s="5" t="s">
        <v>60</v>
      </c>
      <c r="F101" s="6" t="n">
        <v>19229.88</v>
      </c>
      <c r="G101" s="7" t="n">
        <v>1850</v>
      </c>
      <c r="H101" s="8" t="n">
        <v>-0.2212</v>
      </c>
      <c r="I101" s="8" t="n">
        <v>-0.2829</v>
      </c>
      <c r="J101" s="7" t="n">
        <v>998</v>
      </c>
      <c r="K101" s="5" t="n">
        <v>36</v>
      </c>
      <c r="L101" s="5" t="n">
        <v>44</v>
      </c>
      <c r="M101" s="5" t="n">
        <v>4.8</v>
      </c>
      <c r="N101" s="9" t="s">
        <v>54</v>
      </c>
      <c r="O101" s="5"/>
      <c r="P101" s="5"/>
      <c r="Q101" s="5"/>
      <c r="R101" s="7"/>
      <c r="S101" s="7"/>
      <c r="T101" s="5"/>
      <c r="U101" s="6"/>
      <c r="V101" s="7"/>
      <c r="W101" s="5"/>
      <c r="X101" s="7"/>
      <c r="Y101" s="7"/>
      <c r="Z101" s="7"/>
      <c r="AA101" s="10"/>
      <c r="AB101" s="11"/>
      <c r="AC101" s="10"/>
      <c r="AD101" s="12"/>
      <c r="AE101" s="12"/>
      <c r="AF101" s="12"/>
      <c r="AG101" s="7"/>
      <c r="AH101" s="7"/>
      <c r="AI101" s="5" t="s">
        <v>384</v>
      </c>
    </row>
    <row r="102" customFormat="false" ht="15" hidden="false" customHeight="false" outlineLevel="0" collapsed="false">
      <c r="A102" s="5" t="s">
        <v>344</v>
      </c>
      <c r="B102" s="5" t="s">
        <v>385</v>
      </c>
      <c r="C102" s="5"/>
      <c r="D102" s="5" t="s">
        <v>344</v>
      </c>
      <c r="E102" s="5" t="s">
        <v>60</v>
      </c>
      <c r="F102" s="6" t="n">
        <v>18278</v>
      </c>
      <c r="G102" s="7" t="n">
        <v>488</v>
      </c>
      <c r="H102" s="8" t="n">
        <v>4.7446</v>
      </c>
      <c r="I102" s="8" t="n">
        <v>3.5607</v>
      </c>
      <c r="J102" s="7" t="n">
        <v>34</v>
      </c>
      <c r="K102" s="5" t="n">
        <v>6</v>
      </c>
      <c r="L102" s="5" t="n">
        <v>2</v>
      </c>
      <c r="M102" s="5" t="n">
        <v>4.5</v>
      </c>
      <c r="N102" s="9" t="s">
        <v>54</v>
      </c>
      <c r="O102" s="5"/>
      <c r="P102" s="5"/>
      <c r="Q102" s="5"/>
      <c r="R102" s="7"/>
      <c r="S102" s="7"/>
      <c r="T102" s="5"/>
      <c r="U102" s="6"/>
      <c r="V102" s="7"/>
      <c r="W102" s="5"/>
      <c r="X102" s="7"/>
      <c r="Y102" s="7"/>
      <c r="Z102" s="7"/>
      <c r="AA102" s="10"/>
      <c r="AB102" s="11"/>
      <c r="AC102" s="10"/>
      <c r="AD102" s="12"/>
      <c r="AE102" s="12"/>
      <c r="AF102" s="12"/>
      <c r="AG102" s="7"/>
      <c r="AH102" s="7"/>
      <c r="AI102" s="5" t="s">
        <v>386</v>
      </c>
    </row>
    <row r="103" customFormat="false" ht="15" hidden="false" customHeight="false" outlineLevel="0" collapsed="false">
      <c r="A103" s="5" t="s">
        <v>344</v>
      </c>
      <c r="B103" s="5" t="s">
        <v>387</v>
      </c>
      <c r="C103" s="5"/>
      <c r="D103" s="5" t="s">
        <v>344</v>
      </c>
      <c r="E103" s="5" t="s">
        <v>53</v>
      </c>
      <c r="F103" s="6" t="n">
        <v>18084.57</v>
      </c>
      <c r="G103" s="7" t="n">
        <v>741</v>
      </c>
      <c r="H103" s="8" t="n">
        <v>10.1963</v>
      </c>
      <c r="I103" s="8" t="n">
        <v>8.5</v>
      </c>
      <c r="J103" s="7" t="n">
        <v>71</v>
      </c>
      <c r="K103" s="5" t="n">
        <v>15</v>
      </c>
      <c r="L103" s="5" t="n">
        <v>3</v>
      </c>
      <c r="M103" s="5" t="n">
        <v>4</v>
      </c>
      <c r="N103" s="9" t="s">
        <v>54</v>
      </c>
      <c r="O103" s="5"/>
      <c r="P103" s="5"/>
      <c r="Q103" s="5"/>
      <c r="R103" s="7"/>
      <c r="S103" s="7"/>
      <c r="T103" s="5"/>
      <c r="U103" s="6"/>
      <c r="V103" s="7"/>
      <c r="W103" s="5"/>
      <c r="X103" s="7"/>
      <c r="Y103" s="7"/>
      <c r="Z103" s="7"/>
      <c r="AA103" s="10"/>
      <c r="AB103" s="11"/>
      <c r="AC103" s="10"/>
      <c r="AD103" s="12"/>
      <c r="AE103" s="12"/>
      <c r="AF103" s="12"/>
      <c r="AG103" s="7"/>
      <c r="AH103" s="7"/>
      <c r="AI103" s="5" t="s">
        <v>388</v>
      </c>
    </row>
    <row r="104" customFormat="false" ht="15" hidden="false" customHeight="false" outlineLevel="0" collapsed="false">
      <c r="A104" s="5" t="s">
        <v>344</v>
      </c>
      <c r="B104" s="5" t="s">
        <v>389</v>
      </c>
      <c r="C104" s="5"/>
      <c r="D104" s="5" t="s">
        <v>344</v>
      </c>
      <c r="E104" s="5" t="s">
        <v>60</v>
      </c>
      <c r="F104" s="6" t="n">
        <v>17994.53</v>
      </c>
      <c r="G104" s="7" t="n">
        <v>704</v>
      </c>
      <c r="H104" s="8" t="n">
        <v>-0.5509</v>
      </c>
      <c r="I104" s="8" t="n">
        <v>-0.6267</v>
      </c>
      <c r="J104" s="7" t="n">
        <v>16</v>
      </c>
      <c r="K104" s="5" t="n">
        <v>3</v>
      </c>
      <c r="L104" s="5" t="n">
        <v>4</v>
      </c>
      <c r="M104" s="5" t="n">
        <v>4.2</v>
      </c>
      <c r="N104" s="9" t="s">
        <v>54</v>
      </c>
      <c r="O104" s="5"/>
      <c r="P104" s="5"/>
      <c r="Q104" s="5"/>
      <c r="R104" s="7"/>
      <c r="S104" s="7"/>
      <c r="T104" s="5"/>
      <c r="U104" s="6"/>
      <c r="V104" s="7"/>
      <c r="W104" s="5"/>
      <c r="X104" s="7"/>
      <c r="Y104" s="7"/>
      <c r="Z104" s="7"/>
      <c r="AA104" s="10"/>
      <c r="AB104" s="11"/>
      <c r="AC104" s="10"/>
      <c r="AD104" s="12"/>
      <c r="AE104" s="12"/>
      <c r="AF104" s="12"/>
      <c r="AG104" s="7"/>
      <c r="AH104" s="7"/>
      <c r="AI104" s="5" t="s">
        <v>390</v>
      </c>
    </row>
    <row r="105" customFormat="false" ht="15" hidden="false" customHeight="false" outlineLevel="0" collapsed="false">
      <c r="A105" s="5" t="s">
        <v>344</v>
      </c>
      <c r="B105" s="5" t="s">
        <v>391</v>
      </c>
      <c r="C105" s="5"/>
      <c r="D105" s="5" t="s">
        <v>344</v>
      </c>
      <c r="E105" s="5" t="s">
        <v>60</v>
      </c>
      <c r="F105" s="6" t="n">
        <v>17759.63</v>
      </c>
      <c r="G105" s="7" t="n">
        <v>858</v>
      </c>
      <c r="H105" s="8" t="n">
        <v>0.5242</v>
      </c>
      <c r="I105" s="8" t="n">
        <v>0.3597</v>
      </c>
      <c r="J105" s="7" t="n">
        <v>379</v>
      </c>
      <c r="K105" s="5" t="n">
        <v>43</v>
      </c>
      <c r="L105" s="5" t="n">
        <v>47</v>
      </c>
      <c r="M105" s="5" t="n">
        <v>4.7</v>
      </c>
      <c r="N105" s="9" t="s">
        <v>54</v>
      </c>
      <c r="O105" s="5"/>
      <c r="P105" s="5"/>
      <c r="Q105" s="5"/>
      <c r="R105" s="7"/>
      <c r="S105" s="7"/>
      <c r="T105" s="5"/>
      <c r="U105" s="6"/>
      <c r="V105" s="7"/>
      <c r="W105" s="5"/>
      <c r="X105" s="7"/>
      <c r="Y105" s="7"/>
      <c r="Z105" s="7"/>
      <c r="AA105" s="10"/>
      <c r="AB105" s="11"/>
      <c r="AC105" s="10"/>
      <c r="AD105" s="12"/>
      <c r="AE105" s="12"/>
      <c r="AF105" s="12"/>
      <c r="AG105" s="7"/>
      <c r="AH105" s="7"/>
      <c r="AI105" s="5" t="s">
        <v>392</v>
      </c>
    </row>
    <row r="106" customFormat="false" ht="15" hidden="false" customHeight="false" outlineLevel="0" collapsed="false">
      <c r="A106" s="5" t="s">
        <v>344</v>
      </c>
      <c r="B106" s="5" t="s">
        <v>393</v>
      </c>
      <c r="C106" s="5" t="s">
        <v>394</v>
      </c>
      <c r="D106" s="5" t="s">
        <v>344</v>
      </c>
      <c r="E106" s="5" t="s">
        <v>60</v>
      </c>
      <c r="F106" s="6" t="n">
        <v>17392.43</v>
      </c>
      <c r="G106" s="7" t="n">
        <v>1203</v>
      </c>
      <c r="H106" s="8" t="n">
        <v>-0.1602</v>
      </c>
      <c r="I106" s="8" t="n">
        <v>-0.1154</v>
      </c>
      <c r="J106" s="7" t="n">
        <v>1092</v>
      </c>
      <c r="K106" s="5" t="n">
        <v>52</v>
      </c>
      <c r="L106" s="5" t="n">
        <v>85</v>
      </c>
      <c r="M106" s="5" t="n">
        <v>3</v>
      </c>
      <c r="N106" s="9" t="s">
        <v>54</v>
      </c>
      <c r="O106" s="5"/>
      <c r="P106" s="5"/>
      <c r="Q106" s="5"/>
      <c r="R106" s="7"/>
      <c r="S106" s="7"/>
      <c r="T106" s="5"/>
      <c r="U106" s="6"/>
      <c r="V106" s="7"/>
      <c r="W106" s="5"/>
      <c r="X106" s="7"/>
      <c r="Y106" s="7"/>
      <c r="Z106" s="7"/>
      <c r="AA106" s="10"/>
      <c r="AB106" s="11"/>
      <c r="AC106" s="10"/>
      <c r="AD106" s="12"/>
      <c r="AE106" s="12"/>
      <c r="AF106" s="12"/>
      <c r="AG106" s="7"/>
      <c r="AH106" s="7"/>
      <c r="AI106" s="5" t="s">
        <v>395</v>
      </c>
    </row>
    <row r="107" customFormat="false" ht="15" hidden="false" customHeight="false" outlineLevel="0" collapsed="false">
      <c r="A107" s="5" t="s">
        <v>344</v>
      </c>
      <c r="B107" s="5" t="s">
        <v>396</v>
      </c>
      <c r="C107" s="5" t="s">
        <v>397</v>
      </c>
      <c r="D107" s="5" t="s">
        <v>83</v>
      </c>
      <c r="E107" s="5" t="s">
        <v>60</v>
      </c>
      <c r="F107" s="6" t="n">
        <v>16761.29</v>
      </c>
      <c r="G107" s="7" t="n">
        <v>587</v>
      </c>
      <c r="H107" s="8" t="n">
        <v>1.177</v>
      </c>
      <c r="I107" s="8" t="n">
        <v>0.9121</v>
      </c>
      <c r="J107" s="7" t="n">
        <v>374</v>
      </c>
      <c r="K107" s="5" t="n">
        <v>10</v>
      </c>
      <c r="L107" s="5" t="n">
        <v>481</v>
      </c>
      <c r="M107" s="5" t="n">
        <v>4.2</v>
      </c>
      <c r="N107" s="13" t="s">
        <v>61</v>
      </c>
      <c r="O107" s="5"/>
      <c r="P107" s="5"/>
      <c r="Q107" s="5"/>
      <c r="R107" s="7"/>
      <c r="S107" s="7"/>
      <c r="T107" s="5"/>
      <c r="U107" s="6"/>
      <c r="V107" s="7"/>
      <c r="W107" s="5"/>
      <c r="X107" s="7"/>
      <c r="Y107" s="7"/>
      <c r="Z107" s="7"/>
      <c r="AA107" s="10"/>
      <c r="AB107" s="11"/>
      <c r="AC107" s="10"/>
      <c r="AD107" s="12"/>
      <c r="AE107" s="12"/>
      <c r="AF107" s="12"/>
      <c r="AG107" s="7"/>
      <c r="AH107" s="7"/>
      <c r="AI107" s="5" t="s">
        <v>398</v>
      </c>
    </row>
    <row r="108" customFormat="false" ht="15" hidden="false" customHeight="false" outlineLevel="0" collapsed="false">
      <c r="A108" s="5" t="s">
        <v>344</v>
      </c>
      <c r="B108" s="5" t="s">
        <v>399</v>
      </c>
      <c r="C108" s="5"/>
      <c r="D108" s="5" t="s">
        <v>344</v>
      </c>
      <c r="E108" s="5" t="s">
        <v>60</v>
      </c>
      <c r="F108" s="6" t="n">
        <v>16730.7</v>
      </c>
      <c r="G108" s="7" t="n">
        <v>789</v>
      </c>
      <c r="H108" s="8" t="n">
        <v>-0.3101</v>
      </c>
      <c r="I108" s="8" t="n">
        <v>-0.5038</v>
      </c>
      <c r="J108" s="7" t="n">
        <v>109</v>
      </c>
      <c r="K108" s="5" t="n">
        <v>24</v>
      </c>
      <c r="L108" s="5" t="n">
        <v>34</v>
      </c>
      <c r="M108" s="5" t="n">
        <v>4.4</v>
      </c>
      <c r="N108" s="9" t="s">
        <v>54</v>
      </c>
      <c r="O108" s="5"/>
      <c r="P108" s="5"/>
      <c r="Q108" s="5"/>
      <c r="R108" s="7"/>
      <c r="S108" s="7"/>
      <c r="T108" s="5"/>
      <c r="U108" s="6"/>
      <c r="V108" s="7"/>
      <c r="W108" s="5"/>
      <c r="X108" s="7"/>
      <c r="Y108" s="7"/>
      <c r="Z108" s="7"/>
      <c r="AA108" s="10"/>
      <c r="AB108" s="11"/>
      <c r="AC108" s="10"/>
      <c r="AD108" s="12"/>
      <c r="AE108" s="12"/>
      <c r="AF108" s="12"/>
      <c r="AG108" s="7"/>
      <c r="AH108" s="7"/>
      <c r="AI108" s="5" t="s">
        <v>400</v>
      </c>
    </row>
    <row r="109" customFormat="false" ht="15" hidden="false" customHeight="false" outlineLevel="0" collapsed="false">
      <c r="A109" s="5" t="s">
        <v>344</v>
      </c>
      <c r="B109" s="5" t="s">
        <v>401</v>
      </c>
      <c r="C109" s="5" t="s">
        <v>401</v>
      </c>
      <c r="D109" s="5" t="s">
        <v>344</v>
      </c>
      <c r="E109" s="5" t="s">
        <v>60</v>
      </c>
      <c r="F109" s="6" t="n">
        <v>16501.98</v>
      </c>
      <c r="G109" s="7" t="n">
        <v>293</v>
      </c>
      <c r="H109" s="8" t="n">
        <v>1.0456</v>
      </c>
      <c r="I109" s="8" t="n">
        <v>0.744</v>
      </c>
      <c r="J109" s="7" t="n">
        <v>453</v>
      </c>
      <c r="K109" s="5" t="n">
        <v>32</v>
      </c>
      <c r="L109" s="5" t="n">
        <v>111</v>
      </c>
      <c r="M109" s="5" t="n">
        <v>4</v>
      </c>
      <c r="N109" s="9" t="s">
        <v>54</v>
      </c>
      <c r="O109" s="5"/>
      <c r="P109" s="5"/>
      <c r="Q109" s="5"/>
      <c r="R109" s="7"/>
      <c r="S109" s="7"/>
      <c r="T109" s="5"/>
      <c r="U109" s="6"/>
      <c r="V109" s="7"/>
      <c r="W109" s="5"/>
      <c r="X109" s="7"/>
      <c r="Y109" s="7"/>
      <c r="Z109" s="7"/>
      <c r="AA109" s="10"/>
      <c r="AB109" s="11"/>
      <c r="AC109" s="10"/>
      <c r="AD109" s="12"/>
      <c r="AE109" s="12"/>
      <c r="AF109" s="12"/>
      <c r="AG109" s="7"/>
      <c r="AH109" s="7"/>
      <c r="AI109" s="5" t="s">
        <v>402</v>
      </c>
    </row>
    <row r="110" customFormat="false" ht="15" hidden="false" customHeight="false" outlineLevel="0" collapsed="false">
      <c r="A110" s="5" t="s">
        <v>344</v>
      </c>
      <c r="B110" s="5" t="s">
        <v>403</v>
      </c>
      <c r="C110" s="5"/>
      <c r="D110" s="5" t="s">
        <v>344</v>
      </c>
      <c r="E110" s="5" t="s">
        <v>53</v>
      </c>
      <c r="F110" s="6" t="n">
        <v>16300.47</v>
      </c>
      <c r="G110" s="7" t="n">
        <v>795</v>
      </c>
      <c r="H110" s="8" t="n">
        <v>-0.1588</v>
      </c>
      <c r="I110" s="8" t="n">
        <v>-0.0713</v>
      </c>
      <c r="J110" s="7" t="n">
        <v>111</v>
      </c>
      <c r="K110" s="5" t="n">
        <v>8</v>
      </c>
      <c r="L110" s="5" t="n">
        <v>21</v>
      </c>
      <c r="M110" s="5" t="n">
        <v>4.5</v>
      </c>
      <c r="N110" s="9" t="s">
        <v>54</v>
      </c>
      <c r="O110" s="5"/>
      <c r="P110" s="5"/>
      <c r="Q110" s="5"/>
      <c r="R110" s="7"/>
      <c r="S110" s="7"/>
      <c r="T110" s="5"/>
      <c r="U110" s="6"/>
      <c r="V110" s="7"/>
      <c r="W110" s="5"/>
      <c r="X110" s="7"/>
      <c r="Y110" s="7"/>
      <c r="Z110" s="7"/>
      <c r="AA110" s="10"/>
      <c r="AB110" s="11"/>
      <c r="AC110" s="10"/>
      <c r="AD110" s="12"/>
      <c r="AE110" s="12"/>
      <c r="AF110" s="12"/>
      <c r="AG110" s="7"/>
      <c r="AH110" s="7"/>
      <c r="AI110" s="5" t="s">
        <v>404</v>
      </c>
    </row>
    <row r="111" customFormat="false" ht="15" hidden="false" customHeight="false" outlineLevel="0" collapsed="false">
      <c r="A111" s="5" t="s">
        <v>344</v>
      </c>
      <c r="B111" s="5" t="s">
        <v>405</v>
      </c>
      <c r="C111" s="5"/>
      <c r="D111" s="5" t="s">
        <v>344</v>
      </c>
      <c r="E111" s="5" t="s">
        <v>60</v>
      </c>
      <c r="F111" s="6" t="n">
        <v>16164.64</v>
      </c>
      <c r="G111" s="7" t="n">
        <v>283</v>
      </c>
      <c r="H111" s="8" t="n">
        <v>0.2099</v>
      </c>
      <c r="I111" s="8" t="n">
        <v>0.0969</v>
      </c>
      <c r="J111" s="7" t="n">
        <v>8</v>
      </c>
      <c r="K111" s="5" t="n">
        <v>1</v>
      </c>
      <c r="L111" s="5" t="n">
        <v>1</v>
      </c>
      <c r="M111" s="5" t="n">
        <v>4.5</v>
      </c>
      <c r="N111" s="9" t="s">
        <v>54</v>
      </c>
      <c r="O111" s="5"/>
      <c r="P111" s="5"/>
      <c r="Q111" s="5"/>
      <c r="R111" s="7"/>
      <c r="S111" s="7"/>
      <c r="T111" s="5"/>
      <c r="U111" s="6"/>
      <c r="V111" s="7"/>
      <c r="W111" s="5"/>
      <c r="X111" s="7"/>
      <c r="Y111" s="7"/>
      <c r="Z111" s="7"/>
      <c r="AA111" s="10"/>
      <c r="AB111" s="11"/>
      <c r="AC111" s="10"/>
      <c r="AD111" s="12"/>
      <c r="AE111" s="12"/>
      <c r="AF111" s="12"/>
      <c r="AG111" s="7"/>
      <c r="AH111" s="7"/>
      <c r="AI111" s="5" t="s">
        <v>406</v>
      </c>
    </row>
    <row r="112" customFormat="false" ht="15" hidden="false" customHeight="false" outlineLevel="0" collapsed="false">
      <c r="A112" s="5" t="s">
        <v>344</v>
      </c>
      <c r="B112" s="5" t="s">
        <v>407</v>
      </c>
      <c r="C112" s="5" t="s">
        <v>407</v>
      </c>
      <c r="D112" s="5" t="s">
        <v>344</v>
      </c>
      <c r="E112" s="5" t="s">
        <v>60</v>
      </c>
      <c r="F112" s="6" t="n">
        <v>15896.95</v>
      </c>
      <c r="G112" s="7" t="n">
        <v>1172</v>
      </c>
      <c r="H112" s="8" t="n">
        <v>-0.6073</v>
      </c>
      <c r="I112" s="8" t="n">
        <v>-0.6856</v>
      </c>
      <c r="J112" s="7" t="n">
        <v>1465</v>
      </c>
      <c r="K112" s="5" t="n">
        <v>56</v>
      </c>
      <c r="L112" s="5" t="n">
        <v>113</v>
      </c>
      <c r="M112" s="5" t="n">
        <v>4.6</v>
      </c>
      <c r="N112" s="9" t="s">
        <v>54</v>
      </c>
      <c r="O112" s="5"/>
      <c r="P112" s="5" t="s">
        <v>408</v>
      </c>
      <c r="Q112" s="14" t="s">
        <v>409</v>
      </c>
      <c r="R112" s="7" t="n">
        <v>60439</v>
      </c>
      <c r="S112" s="7" t="n">
        <v>497</v>
      </c>
      <c r="T112" s="5" t="s">
        <v>410</v>
      </c>
      <c r="U112" s="6" t="n">
        <v>1113512.43</v>
      </c>
      <c r="V112" s="7" t="n">
        <v>131455</v>
      </c>
      <c r="W112" s="5" t="n">
        <v>570</v>
      </c>
      <c r="X112" s="7" t="n">
        <v>37</v>
      </c>
      <c r="Y112" s="7" t="n">
        <v>134</v>
      </c>
      <c r="Z112" s="7" t="n">
        <v>507</v>
      </c>
      <c r="AA112" s="10" t="n">
        <v>1.5</v>
      </c>
      <c r="AB112" s="11" t="n">
        <v>450</v>
      </c>
      <c r="AC112" s="10" t="n">
        <v>9</v>
      </c>
      <c r="AD112" s="12" t="n">
        <v>0.6</v>
      </c>
      <c r="AE112" s="12" t="n">
        <v>1</v>
      </c>
      <c r="AF112" s="12" t="n">
        <v>1</v>
      </c>
      <c r="AG112" s="7" t="n">
        <v>59</v>
      </c>
      <c r="AH112" s="7" t="n">
        <v>2354</v>
      </c>
      <c r="AI112" s="5" t="s">
        <v>411</v>
      </c>
    </row>
    <row r="113" customFormat="false" ht="15" hidden="false" customHeight="false" outlineLevel="0" collapsed="false">
      <c r="A113" s="5" t="s">
        <v>344</v>
      </c>
      <c r="B113" s="5" t="s">
        <v>412</v>
      </c>
      <c r="C113" s="5"/>
      <c r="D113" s="5" t="s">
        <v>344</v>
      </c>
      <c r="E113" s="5" t="s">
        <v>60</v>
      </c>
      <c r="F113" s="6" t="n">
        <v>15450.73</v>
      </c>
      <c r="G113" s="7" t="n">
        <v>480</v>
      </c>
      <c r="H113" s="8" t="n">
        <v>0.524</v>
      </c>
      <c r="I113" s="8" t="n">
        <v>0.1456</v>
      </c>
      <c r="J113" s="7" t="n">
        <v>11</v>
      </c>
      <c r="K113" s="5" t="n">
        <v>2</v>
      </c>
      <c r="L113" s="5" t="n">
        <v>21</v>
      </c>
      <c r="M113" s="5" t="n">
        <v>4.7</v>
      </c>
      <c r="N113" s="9" t="s">
        <v>54</v>
      </c>
      <c r="O113" s="5"/>
      <c r="P113" s="5"/>
      <c r="Q113" s="5"/>
      <c r="R113" s="7"/>
      <c r="S113" s="7"/>
      <c r="T113" s="5"/>
      <c r="U113" s="6"/>
      <c r="V113" s="7"/>
      <c r="W113" s="5"/>
      <c r="X113" s="7"/>
      <c r="Y113" s="7"/>
      <c r="Z113" s="7"/>
      <c r="AA113" s="10"/>
      <c r="AB113" s="11"/>
      <c r="AC113" s="10"/>
      <c r="AD113" s="12"/>
      <c r="AE113" s="12"/>
      <c r="AF113" s="12"/>
      <c r="AG113" s="7"/>
      <c r="AH113" s="7"/>
      <c r="AI113" s="5" t="s">
        <v>413</v>
      </c>
    </row>
    <row r="114" customFormat="false" ht="15" hidden="false" customHeight="false" outlineLevel="0" collapsed="false">
      <c r="A114" s="5" t="s">
        <v>344</v>
      </c>
      <c r="B114" s="5" t="s">
        <v>414</v>
      </c>
      <c r="C114" s="5"/>
      <c r="D114" s="5" t="s">
        <v>344</v>
      </c>
      <c r="E114" s="5" t="s">
        <v>60</v>
      </c>
      <c r="F114" s="6" t="n">
        <v>15355.86</v>
      </c>
      <c r="G114" s="7" t="n">
        <v>745</v>
      </c>
      <c r="H114" s="8" t="n">
        <v>0.1066</v>
      </c>
      <c r="I114" s="8" t="n">
        <v>0.2458</v>
      </c>
      <c r="J114" s="7" t="n">
        <v>258</v>
      </c>
      <c r="K114" s="5" t="n">
        <v>18</v>
      </c>
      <c r="L114" s="5" t="n">
        <v>14</v>
      </c>
      <c r="M114" s="5" t="n">
        <v>4.6</v>
      </c>
      <c r="N114" s="9" t="s">
        <v>54</v>
      </c>
      <c r="O114" s="5"/>
      <c r="P114" s="5"/>
      <c r="Q114" s="5"/>
      <c r="R114" s="7"/>
      <c r="S114" s="7"/>
      <c r="T114" s="5"/>
      <c r="U114" s="6"/>
      <c r="V114" s="7"/>
      <c r="W114" s="5"/>
      <c r="X114" s="7"/>
      <c r="Y114" s="7"/>
      <c r="Z114" s="7"/>
      <c r="AA114" s="10"/>
      <c r="AB114" s="11"/>
      <c r="AC114" s="10"/>
      <c r="AD114" s="12"/>
      <c r="AE114" s="12"/>
      <c r="AF114" s="12"/>
      <c r="AG114" s="7"/>
      <c r="AH114" s="7"/>
      <c r="AI114" s="5" t="s">
        <v>415</v>
      </c>
    </row>
    <row r="115" customFormat="false" ht="15" hidden="false" customHeight="false" outlineLevel="0" collapsed="false">
      <c r="A115" s="5" t="s">
        <v>344</v>
      </c>
      <c r="B115" s="5" t="s">
        <v>416</v>
      </c>
      <c r="C115" s="5" t="s">
        <v>416</v>
      </c>
      <c r="D115" s="5" t="s">
        <v>344</v>
      </c>
      <c r="E115" s="5" t="s">
        <v>60</v>
      </c>
      <c r="F115" s="6" t="n">
        <v>14895.82</v>
      </c>
      <c r="G115" s="7" t="n">
        <v>127</v>
      </c>
      <c r="H115" s="8" t="n">
        <v>-0.5032</v>
      </c>
      <c r="I115" s="8" t="n">
        <v>0</v>
      </c>
      <c r="J115" s="7" t="n">
        <v>1146</v>
      </c>
      <c r="K115" s="5" t="n">
        <v>43</v>
      </c>
      <c r="L115" s="5" t="n">
        <v>125</v>
      </c>
      <c r="M115" s="5" t="n">
        <v>4.5</v>
      </c>
      <c r="N115" s="9" t="s">
        <v>54</v>
      </c>
      <c r="O115" s="5"/>
      <c r="P115" s="5"/>
      <c r="Q115" s="5"/>
      <c r="R115" s="7"/>
      <c r="S115" s="7"/>
      <c r="T115" s="5"/>
      <c r="U115" s="6"/>
      <c r="V115" s="7"/>
      <c r="W115" s="5"/>
      <c r="X115" s="7"/>
      <c r="Y115" s="7"/>
      <c r="Z115" s="7"/>
      <c r="AA115" s="10"/>
      <c r="AB115" s="11"/>
      <c r="AC115" s="10"/>
      <c r="AD115" s="12"/>
      <c r="AE115" s="12"/>
      <c r="AF115" s="12"/>
      <c r="AG115" s="7"/>
      <c r="AH115" s="7"/>
      <c r="AI115" s="5" t="s">
        <v>417</v>
      </c>
    </row>
    <row r="116" customFormat="false" ht="15" hidden="false" customHeight="false" outlineLevel="0" collapsed="false">
      <c r="A116" s="5" t="s">
        <v>344</v>
      </c>
      <c r="B116" s="5" t="s">
        <v>418</v>
      </c>
      <c r="C116" s="5"/>
      <c r="D116" s="5" t="s">
        <v>344</v>
      </c>
      <c r="E116" s="5" t="s">
        <v>60</v>
      </c>
      <c r="F116" s="6" t="n">
        <v>14682.33</v>
      </c>
      <c r="G116" s="7" t="n">
        <v>208</v>
      </c>
      <c r="H116" s="8" t="n">
        <v>-0.4392</v>
      </c>
      <c r="I116" s="8" t="n">
        <v>-0.5459</v>
      </c>
      <c r="J116" s="7" t="n">
        <v>102</v>
      </c>
      <c r="K116" s="5" t="n">
        <v>15</v>
      </c>
      <c r="L116" s="5" t="n">
        <v>37</v>
      </c>
      <c r="M116" s="5" t="n">
        <v>4.1</v>
      </c>
      <c r="N116" s="9" t="s">
        <v>54</v>
      </c>
      <c r="O116" s="5"/>
      <c r="P116" s="5"/>
      <c r="Q116" s="5"/>
      <c r="R116" s="7"/>
      <c r="S116" s="7"/>
      <c r="T116" s="5"/>
      <c r="U116" s="6"/>
      <c r="V116" s="7"/>
      <c r="W116" s="5"/>
      <c r="X116" s="7"/>
      <c r="Y116" s="7"/>
      <c r="Z116" s="7"/>
      <c r="AA116" s="10"/>
      <c r="AB116" s="11"/>
      <c r="AC116" s="10"/>
      <c r="AD116" s="12"/>
      <c r="AE116" s="12"/>
      <c r="AF116" s="12"/>
      <c r="AG116" s="7"/>
      <c r="AH116" s="7"/>
      <c r="AI116" s="5" t="s">
        <v>419</v>
      </c>
    </row>
    <row r="117" customFormat="false" ht="15" hidden="false" customHeight="false" outlineLevel="0" collapsed="false">
      <c r="A117" s="5" t="s">
        <v>420</v>
      </c>
      <c r="B117" s="5" t="s">
        <v>421</v>
      </c>
      <c r="C117" s="5" t="s">
        <v>422</v>
      </c>
      <c r="D117" s="5" t="s">
        <v>420</v>
      </c>
      <c r="E117" s="5" t="s">
        <v>60</v>
      </c>
      <c r="F117" s="6" t="n">
        <v>28259.55</v>
      </c>
      <c r="G117" s="7" t="n">
        <v>865</v>
      </c>
      <c r="H117" s="8" t="n">
        <v>0.73</v>
      </c>
      <c r="I117" s="8" t="n">
        <v>0.5699</v>
      </c>
      <c r="J117" s="7" t="n">
        <v>53</v>
      </c>
      <c r="K117" s="5" t="n">
        <v>1</v>
      </c>
      <c r="L117" s="5" t="n">
        <v>1</v>
      </c>
      <c r="M117" s="5" t="n">
        <v>4</v>
      </c>
      <c r="N117" s="9" t="s">
        <v>54</v>
      </c>
      <c r="O117" s="5"/>
      <c r="P117" s="5" t="s">
        <v>423</v>
      </c>
      <c r="Q117" s="14" t="s">
        <v>424</v>
      </c>
      <c r="R117" s="7" t="n">
        <v>30647</v>
      </c>
      <c r="S117" s="7" t="n">
        <v>1867</v>
      </c>
      <c r="T117" s="5" t="s">
        <v>425</v>
      </c>
      <c r="U117" s="6" t="n">
        <v>148156.41</v>
      </c>
      <c r="V117" s="7" t="n">
        <v>6533</v>
      </c>
      <c r="W117" s="5" t="n">
        <v>2</v>
      </c>
      <c r="X117" s="7" t="n">
        <v>140</v>
      </c>
      <c r="Y117" s="7" t="n">
        <v>327</v>
      </c>
      <c r="Z117" s="7" t="n">
        <v>100</v>
      </c>
      <c r="AA117" s="10" t="n">
        <v>11.99</v>
      </c>
      <c r="AB117" s="11" t="n">
        <v>29</v>
      </c>
      <c r="AC117" s="10" t="n">
        <v>21.36</v>
      </c>
      <c r="AD117" s="12" t="n">
        <v>0.83</v>
      </c>
      <c r="AE117" s="12" t="n">
        <v>0.92</v>
      </c>
      <c r="AF117" s="12" t="n">
        <v>0.86</v>
      </c>
      <c r="AG117" s="7" t="n">
        <v>16</v>
      </c>
      <c r="AH117" s="7" t="n">
        <v>1685</v>
      </c>
      <c r="AI117" s="5" t="s">
        <v>426</v>
      </c>
    </row>
    <row r="118" customFormat="false" ht="15" hidden="false" customHeight="false" outlineLevel="0" collapsed="false">
      <c r="A118" s="5" t="s">
        <v>420</v>
      </c>
      <c r="B118" s="5" t="s">
        <v>427</v>
      </c>
      <c r="C118" s="5"/>
      <c r="D118" s="5" t="s">
        <v>428</v>
      </c>
      <c r="E118" s="5" t="s">
        <v>53</v>
      </c>
      <c r="F118" s="6" t="n">
        <v>26603.8</v>
      </c>
      <c r="G118" s="7" t="n">
        <v>565</v>
      </c>
      <c r="H118" s="8" t="n">
        <v>-0.3289</v>
      </c>
      <c r="I118" s="8" t="n">
        <v>-0.1812</v>
      </c>
      <c r="J118" s="7" t="n">
        <v>155</v>
      </c>
      <c r="K118" s="5" t="n">
        <v>4</v>
      </c>
      <c r="L118" s="5" t="n">
        <v>36</v>
      </c>
      <c r="M118" s="5" t="n">
        <v>4.8</v>
      </c>
      <c r="N118" s="15" t="s">
        <v>151</v>
      </c>
      <c r="O118" s="5" t="s">
        <v>429</v>
      </c>
      <c r="P118" s="5"/>
      <c r="Q118" s="5"/>
      <c r="R118" s="7"/>
      <c r="S118" s="7"/>
      <c r="T118" s="5"/>
      <c r="U118" s="6"/>
      <c r="V118" s="7"/>
      <c r="W118" s="5"/>
      <c r="X118" s="7"/>
      <c r="Y118" s="7"/>
      <c r="Z118" s="7"/>
      <c r="AA118" s="10"/>
      <c r="AB118" s="11"/>
      <c r="AC118" s="10"/>
      <c r="AD118" s="12"/>
      <c r="AE118" s="12"/>
      <c r="AF118" s="12"/>
      <c r="AG118" s="7"/>
      <c r="AH118" s="7"/>
      <c r="AI118" s="5" t="s">
        <v>430</v>
      </c>
    </row>
    <row r="119" customFormat="false" ht="15" hidden="false" customHeight="false" outlineLevel="0" collapsed="false">
      <c r="A119" s="5" t="s">
        <v>420</v>
      </c>
      <c r="B119" s="5" t="s">
        <v>431</v>
      </c>
      <c r="C119" s="5" t="s">
        <v>432</v>
      </c>
      <c r="D119" s="5" t="s">
        <v>420</v>
      </c>
      <c r="E119" s="5" t="s">
        <v>53</v>
      </c>
      <c r="F119" s="6" t="n">
        <v>26161.82</v>
      </c>
      <c r="G119" s="7" t="n">
        <v>11302</v>
      </c>
      <c r="H119" s="8" t="n">
        <v>1.2974</v>
      </c>
      <c r="I119" s="8" t="n">
        <v>1.4379</v>
      </c>
      <c r="J119" s="7" t="n">
        <v>243</v>
      </c>
      <c r="K119" s="5" t="n">
        <v>12</v>
      </c>
      <c r="L119" s="5" t="n">
        <v>31</v>
      </c>
      <c r="M119" s="5" t="n">
        <v>4.3</v>
      </c>
      <c r="N119" s="9" t="s">
        <v>54</v>
      </c>
      <c r="O119" s="5"/>
      <c r="P119" s="5"/>
      <c r="Q119" s="5"/>
      <c r="R119" s="7"/>
      <c r="S119" s="7"/>
      <c r="T119" s="5"/>
      <c r="U119" s="6"/>
      <c r="V119" s="7"/>
      <c r="W119" s="5"/>
      <c r="X119" s="7"/>
      <c r="Y119" s="7"/>
      <c r="Z119" s="7"/>
      <c r="AA119" s="10"/>
      <c r="AB119" s="11"/>
      <c r="AC119" s="10"/>
      <c r="AD119" s="12"/>
      <c r="AE119" s="12"/>
      <c r="AF119" s="12"/>
      <c r="AG119" s="7"/>
      <c r="AH119" s="7"/>
      <c r="AI119" s="5" t="s">
        <v>433</v>
      </c>
    </row>
    <row r="120" customFormat="false" ht="15" hidden="false" customHeight="false" outlineLevel="0" collapsed="false">
      <c r="A120" s="5" t="s">
        <v>420</v>
      </c>
      <c r="B120" s="5" t="s">
        <v>434</v>
      </c>
      <c r="C120" s="5" t="s">
        <v>435</v>
      </c>
      <c r="D120" s="5" t="s">
        <v>420</v>
      </c>
      <c r="E120" s="5" t="s">
        <v>53</v>
      </c>
      <c r="F120" s="6" t="n">
        <v>25422.88</v>
      </c>
      <c r="G120" s="7" t="n">
        <v>3066</v>
      </c>
      <c r="H120" s="8" t="n">
        <v>-0.0592</v>
      </c>
      <c r="I120" s="8" t="n">
        <v>-0.0886</v>
      </c>
      <c r="J120" s="7" t="n">
        <v>601</v>
      </c>
      <c r="K120" s="5" t="n">
        <v>36</v>
      </c>
      <c r="L120" s="5" t="n">
        <v>121</v>
      </c>
      <c r="M120" s="5" t="n">
        <v>4.8</v>
      </c>
      <c r="N120" s="9" t="s">
        <v>54</v>
      </c>
      <c r="O120" s="5"/>
      <c r="P120" s="5"/>
      <c r="Q120" s="5"/>
      <c r="R120" s="7"/>
      <c r="S120" s="7"/>
      <c r="T120" s="5"/>
      <c r="U120" s="6"/>
      <c r="V120" s="7"/>
      <c r="W120" s="5"/>
      <c r="X120" s="7"/>
      <c r="Y120" s="7"/>
      <c r="Z120" s="7"/>
      <c r="AA120" s="10"/>
      <c r="AB120" s="11"/>
      <c r="AC120" s="10"/>
      <c r="AD120" s="12"/>
      <c r="AE120" s="12"/>
      <c r="AF120" s="12"/>
      <c r="AG120" s="7"/>
      <c r="AH120" s="7"/>
      <c r="AI120" s="5" t="s">
        <v>436</v>
      </c>
    </row>
    <row r="121" customFormat="false" ht="15" hidden="false" customHeight="false" outlineLevel="0" collapsed="false">
      <c r="A121" s="5" t="s">
        <v>420</v>
      </c>
      <c r="B121" s="5" t="s">
        <v>437</v>
      </c>
      <c r="C121" s="5" t="s">
        <v>438</v>
      </c>
      <c r="D121" s="5" t="s">
        <v>420</v>
      </c>
      <c r="E121" s="5" t="s">
        <v>53</v>
      </c>
      <c r="F121" s="6" t="n">
        <v>24236</v>
      </c>
      <c r="G121" s="7" t="n">
        <v>880</v>
      </c>
      <c r="H121" s="8" t="n">
        <v>129.6495</v>
      </c>
      <c r="I121" s="8" t="n">
        <v>47.8889</v>
      </c>
      <c r="J121" s="7" t="n">
        <v>30</v>
      </c>
      <c r="K121" s="5" t="n">
        <v>10</v>
      </c>
      <c r="L121" s="5" t="n">
        <v>29</v>
      </c>
      <c r="M121" s="5" t="n">
        <v>4.4</v>
      </c>
      <c r="N121" s="9" t="s">
        <v>54</v>
      </c>
      <c r="O121" s="5"/>
      <c r="P121" s="5"/>
      <c r="Q121" s="5"/>
      <c r="R121" s="7"/>
      <c r="S121" s="7"/>
      <c r="T121" s="5"/>
      <c r="U121" s="6"/>
      <c r="V121" s="7"/>
      <c r="W121" s="5"/>
      <c r="X121" s="7"/>
      <c r="Y121" s="7"/>
      <c r="Z121" s="7"/>
      <c r="AA121" s="10"/>
      <c r="AB121" s="11"/>
      <c r="AC121" s="10"/>
      <c r="AD121" s="12"/>
      <c r="AE121" s="12"/>
      <c r="AF121" s="12"/>
      <c r="AG121" s="7"/>
      <c r="AH121" s="7"/>
      <c r="AI121" s="5" t="s">
        <v>439</v>
      </c>
    </row>
    <row r="122" customFormat="false" ht="15" hidden="false" customHeight="false" outlineLevel="0" collapsed="false">
      <c r="A122" s="5" t="s">
        <v>420</v>
      </c>
      <c r="B122" s="5" t="s">
        <v>440</v>
      </c>
      <c r="C122" s="5" t="s">
        <v>441</v>
      </c>
      <c r="D122" s="5" t="s">
        <v>420</v>
      </c>
      <c r="E122" s="5" t="s">
        <v>53</v>
      </c>
      <c r="F122" s="6" t="n">
        <v>23735.88</v>
      </c>
      <c r="G122" s="7" t="n">
        <v>5550</v>
      </c>
      <c r="H122" s="8" t="n">
        <v>6.3042</v>
      </c>
      <c r="I122" s="8" t="n">
        <v>6.0431</v>
      </c>
      <c r="J122" s="7" t="n">
        <v>438</v>
      </c>
      <c r="K122" s="5" t="n">
        <v>72</v>
      </c>
      <c r="L122" s="5" t="n">
        <v>109</v>
      </c>
      <c r="M122" s="5" t="n">
        <v>4.8</v>
      </c>
      <c r="N122" s="9" t="s">
        <v>54</v>
      </c>
      <c r="O122" s="5"/>
      <c r="P122" s="5"/>
      <c r="Q122" s="5"/>
      <c r="R122" s="7"/>
      <c r="S122" s="7"/>
      <c r="T122" s="5"/>
      <c r="U122" s="6"/>
      <c r="V122" s="7"/>
      <c r="W122" s="5"/>
      <c r="X122" s="7"/>
      <c r="Y122" s="7"/>
      <c r="Z122" s="7"/>
      <c r="AA122" s="10"/>
      <c r="AB122" s="11"/>
      <c r="AC122" s="10"/>
      <c r="AD122" s="12"/>
      <c r="AE122" s="12"/>
      <c r="AF122" s="12"/>
      <c r="AG122" s="7"/>
      <c r="AH122" s="7"/>
      <c r="AI122" s="5" t="s">
        <v>442</v>
      </c>
    </row>
    <row r="123" customFormat="false" ht="15" hidden="false" customHeight="false" outlineLevel="0" collapsed="false">
      <c r="A123" s="5" t="s">
        <v>420</v>
      </c>
      <c r="B123" s="5" t="s">
        <v>443</v>
      </c>
      <c r="C123" s="5"/>
      <c r="D123" s="5" t="s">
        <v>420</v>
      </c>
      <c r="E123" s="5" t="s">
        <v>53</v>
      </c>
      <c r="F123" s="6" t="n">
        <v>23639.22</v>
      </c>
      <c r="G123" s="7" t="n">
        <v>752</v>
      </c>
      <c r="H123" s="8" t="n">
        <v>0.2874</v>
      </c>
      <c r="I123" s="8" t="n">
        <v>0.1534</v>
      </c>
      <c r="J123" s="7" t="n">
        <v>403</v>
      </c>
      <c r="K123" s="5" t="n">
        <v>4</v>
      </c>
      <c r="L123" s="5" t="n">
        <v>14</v>
      </c>
      <c r="M123" s="5" t="n">
        <v>4.6</v>
      </c>
      <c r="N123" s="9" t="s">
        <v>54</v>
      </c>
      <c r="O123" s="5"/>
      <c r="P123" s="5"/>
      <c r="Q123" s="5"/>
      <c r="R123" s="7"/>
      <c r="S123" s="7"/>
      <c r="T123" s="5"/>
      <c r="U123" s="6"/>
      <c r="V123" s="7"/>
      <c r="W123" s="5"/>
      <c r="X123" s="7"/>
      <c r="Y123" s="7"/>
      <c r="Z123" s="7"/>
      <c r="AA123" s="10"/>
      <c r="AB123" s="11"/>
      <c r="AC123" s="10"/>
      <c r="AD123" s="12"/>
      <c r="AE123" s="12"/>
      <c r="AF123" s="12"/>
      <c r="AG123" s="7"/>
      <c r="AH123" s="7"/>
      <c r="AI123" s="5" t="s">
        <v>444</v>
      </c>
    </row>
    <row r="124" customFormat="false" ht="15" hidden="false" customHeight="false" outlineLevel="0" collapsed="false">
      <c r="A124" s="5" t="s">
        <v>420</v>
      </c>
      <c r="B124" s="5" t="s">
        <v>445</v>
      </c>
      <c r="C124" s="5"/>
      <c r="D124" s="5" t="s">
        <v>446</v>
      </c>
      <c r="E124" s="5" t="s">
        <v>60</v>
      </c>
      <c r="F124" s="6" t="n">
        <v>23217.09</v>
      </c>
      <c r="G124" s="7" t="n">
        <v>129</v>
      </c>
      <c r="H124" s="8" t="n">
        <v>1.7777</v>
      </c>
      <c r="I124" s="8" t="n">
        <v>3.7778</v>
      </c>
      <c r="J124" s="7" t="n">
        <v>200</v>
      </c>
      <c r="K124" s="5" t="n">
        <v>6</v>
      </c>
      <c r="L124" s="5" t="n">
        <v>21</v>
      </c>
      <c r="M124" s="5" t="n">
        <v>4.2</v>
      </c>
      <c r="N124" s="13" t="s">
        <v>61</v>
      </c>
      <c r="O124" s="5"/>
      <c r="P124" s="5"/>
      <c r="Q124" s="5"/>
      <c r="R124" s="7"/>
      <c r="S124" s="7"/>
      <c r="T124" s="5"/>
      <c r="U124" s="6"/>
      <c r="V124" s="7"/>
      <c r="W124" s="5"/>
      <c r="X124" s="7"/>
      <c r="Y124" s="7"/>
      <c r="Z124" s="7"/>
      <c r="AA124" s="10"/>
      <c r="AB124" s="11"/>
      <c r="AC124" s="10"/>
      <c r="AD124" s="12"/>
      <c r="AE124" s="12"/>
      <c r="AF124" s="12"/>
      <c r="AG124" s="7"/>
      <c r="AH124" s="7"/>
      <c r="AI124" s="5" t="s">
        <v>447</v>
      </c>
    </row>
    <row r="125" customFormat="false" ht="15" hidden="false" customHeight="false" outlineLevel="0" collapsed="false">
      <c r="A125" s="5" t="s">
        <v>420</v>
      </c>
      <c r="B125" s="5" t="s">
        <v>448</v>
      </c>
      <c r="C125" s="5"/>
      <c r="D125" s="5" t="s">
        <v>449</v>
      </c>
      <c r="E125" s="5" t="s">
        <v>60</v>
      </c>
      <c r="F125" s="6" t="n">
        <v>21403.58</v>
      </c>
      <c r="G125" s="7" t="n">
        <v>178</v>
      </c>
      <c r="H125" s="8" t="n">
        <v>0.6249</v>
      </c>
      <c r="I125" s="8" t="n">
        <v>0.4833</v>
      </c>
      <c r="J125" s="7" t="n">
        <v>73</v>
      </c>
      <c r="K125" s="5" t="n">
        <v>7</v>
      </c>
      <c r="L125" s="5" t="n">
        <v>53</v>
      </c>
      <c r="M125" s="5" t="n">
        <v>3.8</v>
      </c>
      <c r="N125" s="15" t="s">
        <v>151</v>
      </c>
      <c r="O125" s="5" t="s">
        <v>450</v>
      </c>
      <c r="P125" s="5"/>
      <c r="Q125" s="5"/>
      <c r="R125" s="7"/>
      <c r="S125" s="7"/>
      <c r="T125" s="5"/>
      <c r="U125" s="6"/>
      <c r="V125" s="7"/>
      <c r="W125" s="5"/>
      <c r="X125" s="7"/>
      <c r="Y125" s="7"/>
      <c r="Z125" s="7"/>
      <c r="AA125" s="10"/>
      <c r="AB125" s="11"/>
      <c r="AC125" s="10"/>
      <c r="AD125" s="12"/>
      <c r="AE125" s="12"/>
      <c r="AF125" s="12"/>
      <c r="AG125" s="7"/>
      <c r="AH125" s="7"/>
      <c r="AI125" s="5" t="s">
        <v>451</v>
      </c>
    </row>
    <row r="126" customFormat="false" ht="15" hidden="false" customHeight="false" outlineLevel="0" collapsed="false">
      <c r="A126" s="5" t="s">
        <v>420</v>
      </c>
      <c r="B126" s="5" t="s">
        <v>452</v>
      </c>
      <c r="C126" s="5" t="s">
        <v>453</v>
      </c>
      <c r="D126" s="5" t="s">
        <v>420</v>
      </c>
      <c r="E126" s="5" t="s">
        <v>60</v>
      </c>
      <c r="F126" s="6" t="n">
        <v>19818.2</v>
      </c>
      <c r="G126" s="7" t="n">
        <v>711</v>
      </c>
      <c r="H126" s="8" t="n">
        <v>-0.2049</v>
      </c>
      <c r="I126" s="8" t="n">
        <v>-0.3183</v>
      </c>
      <c r="J126" s="7" t="n">
        <v>908</v>
      </c>
      <c r="K126" s="5" t="n">
        <v>27</v>
      </c>
      <c r="L126" s="5" t="n">
        <v>28</v>
      </c>
      <c r="M126" s="5" t="n">
        <v>4.6</v>
      </c>
      <c r="N126" s="9" t="s">
        <v>54</v>
      </c>
      <c r="O126" s="5"/>
      <c r="P126" s="5" t="s">
        <v>452</v>
      </c>
      <c r="Q126" s="14" t="s">
        <v>454</v>
      </c>
      <c r="R126" s="7" t="n">
        <v>468948</v>
      </c>
      <c r="S126" s="7" t="n">
        <v>1958</v>
      </c>
      <c r="T126" s="5" t="s">
        <v>455</v>
      </c>
      <c r="U126" s="6" t="n">
        <v>2102308.85</v>
      </c>
      <c r="V126" s="7" t="n">
        <v>91218</v>
      </c>
      <c r="W126" s="5" t="n">
        <v>212</v>
      </c>
      <c r="X126" s="7" t="n">
        <v>2163</v>
      </c>
      <c r="Y126" s="7" t="n">
        <v>4375</v>
      </c>
      <c r="Z126" s="7" t="n">
        <v>1410</v>
      </c>
      <c r="AA126" s="10" t="n">
        <v>1.65</v>
      </c>
      <c r="AB126" s="11" t="n">
        <v>187.97</v>
      </c>
      <c r="AC126" s="10" t="n">
        <v>27.94</v>
      </c>
      <c r="AD126" s="12" t="n">
        <v>0.6</v>
      </c>
      <c r="AE126" s="12" t="n">
        <v>0.99</v>
      </c>
      <c r="AF126" s="12" t="n">
        <v>0.97</v>
      </c>
      <c r="AG126" s="7" t="n">
        <v>27</v>
      </c>
      <c r="AH126" s="7" t="n">
        <v>2162</v>
      </c>
      <c r="AI126" s="5" t="s">
        <v>456</v>
      </c>
    </row>
    <row r="127" customFormat="false" ht="15" hidden="false" customHeight="false" outlineLevel="0" collapsed="false">
      <c r="A127" s="5" t="s">
        <v>420</v>
      </c>
      <c r="B127" s="5" t="s">
        <v>457</v>
      </c>
      <c r="C127" s="5"/>
      <c r="D127" s="5" t="s">
        <v>420</v>
      </c>
      <c r="E127" s="5" t="s">
        <v>53</v>
      </c>
      <c r="F127" s="6" t="n">
        <v>18992.3</v>
      </c>
      <c r="G127" s="7" t="n">
        <v>1547</v>
      </c>
      <c r="H127" s="8" t="n">
        <v>1.0563</v>
      </c>
      <c r="I127" s="8" t="n">
        <v>0.8483</v>
      </c>
      <c r="J127" s="7" t="n">
        <v>240</v>
      </c>
      <c r="K127" s="5" t="n">
        <v>9</v>
      </c>
      <c r="L127" s="5" t="n">
        <v>161</v>
      </c>
      <c r="M127" s="5" t="n">
        <v>4.3</v>
      </c>
      <c r="N127" s="9" t="s">
        <v>54</v>
      </c>
      <c r="O127" s="5"/>
      <c r="P127" s="5"/>
      <c r="Q127" s="5"/>
      <c r="R127" s="7"/>
      <c r="S127" s="7"/>
      <c r="T127" s="5"/>
      <c r="U127" s="6"/>
      <c r="V127" s="7"/>
      <c r="W127" s="5"/>
      <c r="X127" s="7"/>
      <c r="Y127" s="7"/>
      <c r="Z127" s="7"/>
      <c r="AA127" s="10"/>
      <c r="AB127" s="11"/>
      <c r="AC127" s="10"/>
      <c r="AD127" s="12"/>
      <c r="AE127" s="12"/>
      <c r="AF127" s="12"/>
      <c r="AG127" s="7"/>
      <c r="AH127" s="7"/>
      <c r="AI127" s="5" t="s">
        <v>458</v>
      </c>
    </row>
    <row r="128" customFormat="false" ht="15" hidden="false" customHeight="false" outlineLevel="0" collapsed="false">
      <c r="A128" s="5" t="s">
        <v>420</v>
      </c>
      <c r="B128" s="5" t="s">
        <v>459</v>
      </c>
      <c r="C128" s="5"/>
      <c r="D128" s="5" t="s">
        <v>420</v>
      </c>
      <c r="E128" s="5" t="s">
        <v>60</v>
      </c>
      <c r="F128" s="6" t="n">
        <v>18626.62</v>
      </c>
      <c r="G128" s="7" t="n">
        <v>801</v>
      </c>
      <c r="H128" s="8" t="n">
        <v>-0.1379</v>
      </c>
      <c r="I128" s="8" t="n">
        <v>-0.2645</v>
      </c>
      <c r="J128" s="7" t="n">
        <v>0</v>
      </c>
      <c r="K128" s="5" t="n">
        <v>1</v>
      </c>
      <c r="L128" s="5" t="n">
        <v>1058</v>
      </c>
      <c r="M128" s="5" t="n">
        <v>4.5</v>
      </c>
      <c r="N128" s="9" t="s">
        <v>54</v>
      </c>
      <c r="O128" s="5"/>
      <c r="P128" s="5"/>
      <c r="Q128" s="5"/>
      <c r="R128" s="7"/>
      <c r="S128" s="7"/>
      <c r="T128" s="5"/>
      <c r="U128" s="6"/>
      <c r="V128" s="7"/>
      <c r="W128" s="5"/>
      <c r="X128" s="7"/>
      <c r="Y128" s="7"/>
      <c r="Z128" s="7"/>
      <c r="AA128" s="10"/>
      <c r="AB128" s="11"/>
      <c r="AC128" s="10"/>
      <c r="AD128" s="12"/>
      <c r="AE128" s="12"/>
      <c r="AF128" s="12"/>
      <c r="AG128" s="7"/>
      <c r="AH128" s="7"/>
      <c r="AI128" s="5" t="s">
        <v>460</v>
      </c>
    </row>
    <row r="129" customFormat="false" ht="15" hidden="false" customHeight="false" outlineLevel="0" collapsed="false">
      <c r="A129" s="5" t="s">
        <v>420</v>
      </c>
      <c r="B129" s="5" t="s">
        <v>461</v>
      </c>
      <c r="C129" s="5" t="s">
        <v>462</v>
      </c>
      <c r="D129" s="5" t="s">
        <v>420</v>
      </c>
      <c r="E129" s="5" t="s">
        <v>60</v>
      </c>
      <c r="F129" s="6" t="n">
        <v>18117.7</v>
      </c>
      <c r="G129" s="7" t="n">
        <v>2088</v>
      </c>
      <c r="H129" s="8" t="n">
        <v>1.203</v>
      </c>
      <c r="I129" s="8" t="n">
        <v>0.774</v>
      </c>
      <c r="J129" s="7" t="n">
        <v>169</v>
      </c>
      <c r="K129" s="5" t="n">
        <v>348</v>
      </c>
      <c r="L129" s="5" t="n">
        <v>2261</v>
      </c>
      <c r="M129" s="5" t="n">
        <v>4.2</v>
      </c>
      <c r="N129" s="9" t="s">
        <v>54</v>
      </c>
      <c r="O129" s="5"/>
      <c r="P129" s="5" t="s">
        <v>463</v>
      </c>
      <c r="Q129" s="14" t="s">
        <v>464</v>
      </c>
      <c r="R129" s="7" t="n">
        <v>3749</v>
      </c>
      <c r="S129" s="7" t="n">
        <v>221</v>
      </c>
      <c r="T129" s="5" t="s">
        <v>465</v>
      </c>
      <c r="U129" s="6" t="n">
        <v>122765.75</v>
      </c>
      <c r="V129" s="7" t="n">
        <v>19691</v>
      </c>
      <c r="W129" s="5" t="n">
        <v>2900</v>
      </c>
      <c r="X129" s="7" t="n">
        <v>441</v>
      </c>
      <c r="Y129" s="7" t="n">
        <v>931</v>
      </c>
      <c r="Z129" s="7" t="n">
        <v>159</v>
      </c>
      <c r="AA129" s="10" t="n">
        <v>1.04</v>
      </c>
      <c r="AB129" s="11" t="n">
        <v>1099</v>
      </c>
      <c r="AC129" s="10" t="n">
        <v>5.52</v>
      </c>
      <c r="AD129" s="12" t="n">
        <v>0.61</v>
      </c>
      <c r="AE129" s="12" t="n">
        <v>0.94</v>
      </c>
      <c r="AF129" s="12" t="n">
        <v>0.67</v>
      </c>
      <c r="AG129" s="7" t="n">
        <v>25</v>
      </c>
      <c r="AH129" s="7" t="n">
        <v>2147</v>
      </c>
      <c r="AI129" s="5" t="s">
        <v>466</v>
      </c>
    </row>
    <row r="130" customFormat="false" ht="15" hidden="false" customHeight="false" outlineLevel="0" collapsed="false">
      <c r="A130" s="5" t="s">
        <v>420</v>
      </c>
      <c r="B130" s="5" t="s">
        <v>467</v>
      </c>
      <c r="C130" s="5" t="s">
        <v>468</v>
      </c>
      <c r="D130" s="5" t="s">
        <v>420</v>
      </c>
      <c r="E130" s="5" t="s">
        <v>53</v>
      </c>
      <c r="F130" s="6" t="n">
        <v>18032.56</v>
      </c>
      <c r="G130" s="7" t="n">
        <v>3571</v>
      </c>
      <c r="H130" s="8" t="n">
        <v>-0.0293</v>
      </c>
      <c r="I130" s="8" t="n">
        <v>-0.0211</v>
      </c>
      <c r="J130" s="7" t="n">
        <v>684</v>
      </c>
      <c r="K130" s="5" t="n">
        <v>74</v>
      </c>
      <c r="L130" s="5" t="n">
        <v>337</v>
      </c>
      <c r="M130" s="5" t="n">
        <v>4.8</v>
      </c>
      <c r="N130" s="9" t="s">
        <v>54</v>
      </c>
      <c r="O130" s="5"/>
      <c r="P130" s="5"/>
      <c r="Q130" s="5"/>
      <c r="R130" s="7"/>
      <c r="S130" s="7"/>
      <c r="T130" s="5"/>
      <c r="U130" s="6"/>
      <c r="V130" s="7"/>
      <c r="W130" s="5"/>
      <c r="X130" s="7"/>
      <c r="Y130" s="7"/>
      <c r="Z130" s="7"/>
      <c r="AA130" s="10"/>
      <c r="AB130" s="11"/>
      <c r="AC130" s="10"/>
      <c r="AD130" s="12"/>
      <c r="AE130" s="12"/>
      <c r="AF130" s="12"/>
      <c r="AG130" s="7"/>
      <c r="AH130" s="7"/>
      <c r="AI130" s="5" t="s">
        <v>469</v>
      </c>
    </row>
    <row r="131" customFormat="false" ht="15" hidden="false" customHeight="false" outlineLevel="0" collapsed="false">
      <c r="A131" s="5" t="s">
        <v>420</v>
      </c>
      <c r="B131" s="5" t="s">
        <v>470</v>
      </c>
      <c r="C131" s="5" t="s">
        <v>471</v>
      </c>
      <c r="D131" s="5" t="s">
        <v>341</v>
      </c>
      <c r="E131" s="5" t="s">
        <v>60</v>
      </c>
      <c r="F131" s="6" t="n">
        <v>16261.07</v>
      </c>
      <c r="G131" s="7" t="n">
        <v>622</v>
      </c>
      <c r="H131" s="8" t="n">
        <v>0.106</v>
      </c>
      <c r="I131" s="8" t="n">
        <v>0.0489</v>
      </c>
      <c r="J131" s="7" t="n">
        <v>1</v>
      </c>
      <c r="K131" s="5" t="n">
        <v>1</v>
      </c>
      <c r="L131" s="5" t="n">
        <v>164</v>
      </c>
      <c r="M131" s="5" t="n">
        <v>4.6</v>
      </c>
      <c r="N131" s="13" t="s">
        <v>61</v>
      </c>
      <c r="O131" s="5"/>
      <c r="P131" s="5"/>
      <c r="Q131" s="5"/>
      <c r="R131" s="7"/>
      <c r="S131" s="7"/>
      <c r="T131" s="5"/>
      <c r="U131" s="6"/>
      <c r="V131" s="7"/>
      <c r="W131" s="5"/>
      <c r="X131" s="7"/>
      <c r="Y131" s="7"/>
      <c r="Z131" s="7"/>
      <c r="AA131" s="10"/>
      <c r="AB131" s="11"/>
      <c r="AC131" s="10"/>
      <c r="AD131" s="12"/>
      <c r="AE131" s="12"/>
      <c r="AF131" s="12"/>
      <c r="AG131" s="7"/>
      <c r="AH131" s="7"/>
      <c r="AI131" s="5" t="s">
        <v>472</v>
      </c>
    </row>
    <row r="132" customFormat="false" ht="15" hidden="false" customHeight="false" outlineLevel="0" collapsed="false">
      <c r="A132" s="5" t="s">
        <v>420</v>
      </c>
      <c r="B132" s="5" t="s">
        <v>473</v>
      </c>
      <c r="C132" s="5"/>
      <c r="D132" s="5" t="s">
        <v>59</v>
      </c>
      <c r="E132" s="5" t="s">
        <v>60</v>
      </c>
      <c r="F132" s="6" t="n">
        <v>15737.62</v>
      </c>
      <c r="G132" s="7" t="n">
        <v>1173</v>
      </c>
      <c r="H132" s="8" t="n">
        <v>1.434</v>
      </c>
      <c r="I132" s="8" t="n">
        <v>1.6781</v>
      </c>
      <c r="J132" s="7" t="n">
        <v>374</v>
      </c>
      <c r="K132" s="5" t="n">
        <v>33</v>
      </c>
      <c r="L132" s="5" t="n">
        <v>457</v>
      </c>
      <c r="M132" s="5" t="n">
        <v>4.4</v>
      </c>
      <c r="N132" s="13" t="s">
        <v>61</v>
      </c>
      <c r="O132" s="5"/>
      <c r="P132" s="5"/>
      <c r="Q132" s="5"/>
      <c r="R132" s="7"/>
      <c r="S132" s="7"/>
      <c r="T132" s="5"/>
      <c r="U132" s="6"/>
      <c r="V132" s="7"/>
      <c r="W132" s="5"/>
      <c r="X132" s="7"/>
      <c r="Y132" s="7"/>
      <c r="Z132" s="7"/>
      <c r="AA132" s="10"/>
      <c r="AB132" s="11"/>
      <c r="AC132" s="10"/>
      <c r="AD132" s="12"/>
      <c r="AE132" s="12"/>
      <c r="AF132" s="12"/>
      <c r="AG132" s="7"/>
      <c r="AH132" s="7"/>
      <c r="AI132" s="5" t="s">
        <v>474</v>
      </c>
    </row>
    <row r="133" customFormat="false" ht="15" hidden="false" customHeight="false" outlineLevel="0" collapsed="false">
      <c r="A133" s="5" t="s">
        <v>420</v>
      </c>
      <c r="B133" s="5" t="s">
        <v>475</v>
      </c>
      <c r="C133" s="5" t="s">
        <v>476</v>
      </c>
      <c r="D133" s="5" t="s">
        <v>420</v>
      </c>
      <c r="E133" s="5" t="s">
        <v>53</v>
      </c>
      <c r="F133" s="6" t="n">
        <v>15670.21</v>
      </c>
      <c r="G133" s="7" t="n">
        <v>2873</v>
      </c>
      <c r="H133" s="8" t="n">
        <v>0.4693</v>
      </c>
      <c r="I133" s="8" t="n">
        <v>0.3264</v>
      </c>
      <c r="J133" s="7" t="n">
        <v>113</v>
      </c>
      <c r="K133" s="5" t="n">
        <v>58</v>
      </c>
      <c r="L133" s="5" t="n">
        <v>186</v>
      </c>
      <c r="M133" s="5" t="n">
        <v>4.8</v>
      </c>
      <c r="N133" s="9" t="s">
        <v>54</v>
      </c>
      <c r="O133" s="5"/>
      <c r="P133" s="5"/>
      <c r="Q133" s="5"/>
      <c r="R133" s="7"/>
      <c r="S133" s="7"/>
      <c r="T133" s="5"/>
      <c r="U133" s="6"/>
      <c r="V133" s="7"/>
      <c r="W133" s="5"/>
      <c r="X133" s="7"/>
      <c r="Y133" s="7"/>
      <c r="Z133" s="7"/>
      <c r="AA133" s="10"/>
      <c r="AB133" s="11"/>
      <c r="AC133" s="10"/>
      <c r="AD133" s="12"/>
      <c r="AE133" s="12"/>
      <c r="AF133" s="12"/>
      <c r="AG133" s="7"/>
      <c r="AH133" s="7"/>
      <c r="AI133" s="5" t="s">
        <v>477</v>
      </c>
    </row>
    <row r="134" customFormat="false" ht="15" hidden="false" customHeight="false" outlineLevel="0" collapsed="false">
      <c r="A134" s="5" t="s">
        <v>420</v>
      </c>
      <c r="B134" s="5" t="s">
        <v>478</v>
      </c>
      <c r="C134" s="5" t="s">
        <v>479</v>
      </c>
      <c r="D134" s="5" t="s">
        <v>420</v>
      </c>
      <c r="E134" s="5" t="s">
        <v>53</v>
      </c>
      <c r="F134" s="6" t="n">
        <v>15648.89</v>
      </c>
      <c r="G134" s="7" t="n">
        <v>144</v>
      </c>
      <c r="H134" s="8" t="n">
        <v>0.2368</v>
      </c>
      <c r="I134" s="8" t="n">
        <v>0.2101</v>
      </c>
      <c r="J134" s="7" t="n">
        <v>52</v>
      </c>
      <c r="K134" s="5" t="n">
        <v>3</v>
      </c>
      <c r="L134" s="5" t="n">
        <v>3</v>
      </c>
      <c r="M134" s="5" t="n">
        <v>3.9</v>
      </c>
      <c r="N134" s="9" t="s">
        <v>54</v>
      </c>
      <c r="O134" s="5"/>
      <c r="P134" s="5"/>
      <c r="Q134" s="5"/>
      <c r="R134" s="7"/>
      <c r="S134" s="7"/>
      <c r="T134" s="5"/>
      <c r="U134" s="6"/>
      <c r="V134" s="7"/>
      <c r="W134" s="5"/>
      <c r="X134" s="7"/>
      <c r="Y134" s="7"/>
      <c r="Z134" s="7"/>
      <c r="AA134" s="10"/>
      <c r="AB134" s="11"/>
      <c r="AC134" s="10"/>
      <c r="AD134" s="12"/>
      <c r="AE134" s="12"/>
      <c r="AF134" s="12"/>
      <c r="AG134" s="7"/>
      <c r="AH134" s="7"/>
      <c r="AI134" s="5" t="s">
        <v>480</v>
      </c>
    </row>
    <row r="135" customFormat="false" ht="15" hidden="false" customHeight="false" outlineLevel="0" collapsed="false">
      <c r="A135" s="5" t="s">
        <v>420</v>
      </c>
      <c r="B135" s="5" t="s">
        <v>481</v>
      </c>
      <c r="C135" s="5" t="s">
        <v>482</v>
      </c>
      <c r="D135" s="5" t="s">
        <v>446</v>
      </c>
      <c r="E135" s="5" t="s">
        <v>60</v>
      </c>
      <c r="F135" s="6" t="n">
        <v>15372.24</v>
      </c>
      <c r="G135" s="7" t="n">
        <v>853</v>
      </c>
      <c r="H135" s="8" t="n">
        <v>0.181</v>
      </c>
      <c r="I135" s="8" t="n">
        <v>0.0167</v>
      </c>
      <c r="J135" s="7" t="n">
        <v>70</v>
      </c>
      <c r="K135" s="5" t="n">
        <v>21</v>
      </c>
      <c r="L135" s="5" t="n">
        <v>463</v>
      </c>
      <c r="M135" s="5" t="n">
        <v>4.4</v>
      </c>
      <c r="N135" s="15" t="s">
        <v>151</v>
      </c>
      <c r="O135" s="5" t="s">
        <v>483</v>
      </c>
      <c r="P135" s="5"/>
      <c r="Q135" s="5"/>
      <c r="R135" s="7"/>
      <c r="S135" s="7"/>
      <c r="T135" s="5"/>
      <c r="U135" s="6"/>
      <c r="V135" s="7"/>
      <c r="W135" s="5"/>
      <c r="X135" s="7"/>
      <c r="Y135" s="7"/>
      <c r="Z135" s="7"/>
      <c r="AA135" s="10"/>
      <c r="AB135" s="11"/>
      <c r="AC135" s="10"/>
      <c r="AD135" s="12"/>
      <c r="AE135" s="12"/>
      <c r="AF135" s="12"/>
      <c r="AG135" s="7"/>
      <c r="AH135" s="7"/>
      <c r="AI135" s="5" t="s">
        <v>484</v>
      </c>
    </row>
    <row r="136" customFormat="false" ht="15" hidden="false" customHeight="false" outlineLevel="0" collapsed="false">
      <c r="A136" s="5" t="s">
        <v>420</v>
      </c>
      <c r="B136" s="5" t="s">
        <v>485</v>
      </c>
      <c r="C136" s="5"/>
      <c r="D136" s="5" t="s">
        <v>420</v>
      </c>
      <c r="E136" s="5" t="s">
        <v>60</v>
      </c>
      <c r="F136" s="6" t="n">
        <v>15262.9</v>
      </c>
      <c r="G136" s="7" t="n">
        <v>1261</v>
      </c>
      <c r="H136" s="8" t="n">
        <v>0</v>
      </c>
      <c r="I136" s="8" t="n">
        <v>0</v>
      </c>
      <c r="J136" s="7" t="n">
        <v>8</v>
      </c>
      <c r="K136" s="5" t="n">
        <v>2</v>
      </c>
      <c r="L136" s="5" t="n">
        <v>60</v>
      </c>
      <c r="M136" s="5" t="n">
        <v>4.5</v>
      </c>
      <c r="N136" s="9" t="s">
        <v>54</v>
      </c>
      <c r="O136" s="5"/>
      <c r="P136" s="5"/>
      <c r="Q136" s="5"/>
      <c r="R136" s="7"/>
      <c r="S136" s="7"/>
      <c r="T136" s="5"/>
      <c r="U136" s="6"/>
      <c r="V136" s="7"/>
      <c r="W136" s="5"/>
      <c r="X136" s="7"/>
      <c r="Y136" s="7"/>
      <c r="Z136" s="7"/>
      <c r="AA136" s="10"/>
      <c r="AB136" s="11"/>
      <c r="AC136" s="10"/>
      <c r="AD136" s="12"/>
      <c r="AE136" s="12"/>
      <c r="AF136" s="12"/>
      <c r="AG136" s="7"/>
      <c r="AH136" s="7"/>
      <c r="AI136" s="5" t="s">
        <v>486</v>
      </c>
    </row>
    <row r="137" customFormat="false" ht="15" hidden="false" customHeight="false" outlineLevel="0" collapsed="false">
      <c r="A137" s="5" t="s">
        <v>420</v>
      </c>
      <c r="B137" s="5" t="s">
        <v>487</v>
      </c>
      <c r="C137" s="5"/>
      <c r="D137" s="5" t="s">
        <v>344</v>
      </c>
      <c r="E137" s="5" t="s">
        <v>60</v>
      </c>
      <c r="F137" s="6" t="n">
        <v>14720.54</v>
      </c>
      <c r="G137" s="7" t="n">
        <v>830</v>
      </c>
      <c r="H137" s="8" t="n">
        <v>6.0524</v>
      </c>
      <c r="I137" s="8" t="n">
        <v>4.6463</v>
      </c>
      <c r="J137" s="7" t="n">
        <v>108</v>
      </c>
      <c r="K137" s="5" t="n">
        <v>14</v>
      </c>
      <c r="L137" s="5" t="n">
        <v>203</v>
      </c>
      <c r="M137" s="5" t="n">
        <v>4.1</v>
      </c>
      <c r="N137" s="13" t="s">
        <v>61</v>
      </c>
      <c r="O137" s="5" t="s">
        <v>488</v>
      </c>
      <c r="P137" s="5"/>
      <c r="Q137" s="5"/>
      <c r="R137" s="7"/>
      <c r="S137" s="7"/>
      <c r="T137" s="5"/>
      <c r="U137" s="6"/>
      <c r="V137" s="7"/>
      <c r="W137" s="5"/>
      <c r="X137" s="7"/>
      <c r="Y137" s="7"/>
      <c r="Z137" s="7"/>
      <c r="AA137" s="10"/>
      <c r="AB137" s="11"/>
      <c r="AC137" s="10"/>
      <c r="AD137" s="12"/>
      <c r="AE137" s="12"/>
      <c r="AF137" s="12"/>
      <c r="AG137" s="7"/>
      <c r="AH137" s="7"/>
      <c r="AI137" s="5" t="s">
        <v>489</v>
      </c>
    </row>
    <row r="138" customFormat="false" ht="15" hidden="false" customHeight="false" outlineLevel="0" collapsed="false">
      <c r="A138" s="5" t="s">
        <v>420</v>
      </c>
      <c r="B138" s="5" t="s">
        <v>490</v>
      </c>
      <c r="C138" s="5"/>
      <c r="D138" s="5" t="s">
        <v>420</v>
      </c>
      <c r="E138" s="5" t="s">
        <v>60</v>
      </c>
      <c r="F138" s="6" t="n">
        <v>14693.9</v>
      </c>
      <c r="G138" s="7" t="n">
        <v>97</v>
      </c>
      <c r="H138" s="8" t="n">
        <v>-0.5699</v>
      </c>
      <c r="I138" s="8" t="n">
        <v>-0.5975</v>
      </c>
      <c r="J138" s="7" t="n">
        <v>50</v>
      </c>
      <c r="K138" s="5" t="n">
        <v>3</v>
      </c>
      <c r="L138" s="5" t="n">
        <v>20</v>
      </c>
      <c r="M138" s="5" t="n">
        <v>4.4</v>
      </c>
      <c r="N138" s="9" t="s">
        <v>54</v>
      </c>
      <c r="O138" s="5"/>
      <c r="P138" s="5"/>
      <c r="Q138" s="5"/>
      <c r="R138" s="7"/>
      <c r="S138" s="7"/>
      <c r="T138" s="5"/>
      <c r="U138" s="6"/>
      <c r="V138" s="7"/>
      <c r="W138" s="5"/>
      <c r="X138" s="7"/>
      <c r="Y138" s="7"/>
      <c r="Z138" s="7"/>
      <c r="AA138" s="10"/>
      <c r="AB138" s="11"/>
      <c r="AC138" s="10"/>
      <c r="AD138" s="12"/>
      <c r="AE138" s="12"/>
      <c r="AF138" s="12"/>
      <c r="AG138" s="7"/>
      <c r="AH138" s="7"/>
      <c r="AI138" s="5" t="s">
        <v>491</v>
      </c>
    </row>
    <row r="139" customFormat="false" ht="15" hidden="false" customHeight="false" outlineLevel="0" collapsed="false">
      <c r="A139" s="5" t="s">
        <v>420</v>
      </c>
      <c r="B139" s="5" t="s">
        <v>492</v>
      </c>
      <c r="C139" s="5"/>
      <c r="D139" s="5" t="s">
        <v>420</v>
      </c>
      <c r="E139" s="5" t="s">
        <v>60</v>
      </c>
      <c r="F139" s="6" t="n">
        <v>14498.65</v>
      </c>
      <c r="G139" s="7" t="n">
        <v>2005</v>
      </c>
      <c r="H139" s="8" t="n">
        <v>0.7716</v>
      </c>
      <c r="I139" s="8" t="n">
        <v>0.185</v>
      </c>
      <c r="J139" s="7" t="n">
        <v>100</v>
      </c>
      <c r="K139" s="5" t="n">
        <v>23</v>
      </c>
      <c r="L139" s="5" t="n">
        <v>65</v>
      </c>
      <c r="M139" s="5" t="n">
        <v>4.3</v>
      </c>
      <c r="N139" s="9" t="s">
        <v>54</v>
      </c>
      <c r="O139" s="5"/>
      <c r="P139" s="5"/>
      <c r="Q139" s="5"/>
      <c r="R139" s="7"/>
      <c r="S139" s="7"/>
      <c r="T139" s="5"/>
      <c r="U139" s="6"/>
      <c r="V139" s="7"/>
      <c r="W139" s="5"/>
      <c r="X139" s="7"/>
      <c r="Y139" s="7"/>
      <c r="Z139" s="7"/>
      <c r="AA139" s="10"/>
      <c r="AB139" s="11"/>
      <c r="AC139" s="10"/>
      <c r="AD139" s="12"/>
      <c r="AE139" s="12"/>
      <c r="AF139" s="12"/>
      <c r="AG139" s="7"/>
      <c r="AH139" s="7"/>
      <c r="AI139" s="5" t="s">
        <v>493</v>
      </c>
    </row>
    <row r="140" customFormat="false" ht="15" hidden="false" customHeight="false" outlineLevel="0" collapsed="false">
      <c r="A140" s="5" t="s">
        <v>420</v>
      </c>
      <c r="B140" s="5" t="s">
        <v>494</v>
      </c>
      <c r="C140" s="5" t="s">
        <v>495</v>
      </c>
      <c r="D140" s="5" t="s">
        <v>420</v>
      </c>
      <c r="E140" s="5" t="s">
        <v>53</v>
      </c>
      <c r="F140" s="6" t="n">
        <v>14478.04</v>
      </c>
      <c r="G140" s="7" t="n">
        <v>1059</v>
      </c>
      <c r="H140" s="8" t="n">
        <v>8.5615</v>
      </c>
      <c r="I140" s="8" t="n">
        <v>9.3824</v>
      </c>
      <c r="J140" s="7" t="n">
        <v>11</v>
      </c>
      <c r="K140" s="5" t="n">
        <v>7</v>
      </c>
      <c r="L140" s="5" t="n">
        <v>16</v>
      </c>
      <c r="M140" s="5" t="n">
        <v>4.4</v>
      </c>
      <c r="N140" s="9" t="s">
        <v>54</v>
      </c>
      <c r="O140" s="5"/>
      <c r="P140" s="5"/>
      <c r="Q140" s="5"/>
      <c r="R140" s="7"/>
      <c r="S140" s="7"/>
      <c r="T140" s="5"/>
      <c r="U140" s="6"/>
      <c r="V140" s="7"/>
      <c r="W140" s="5"/>
      <c r="X140" s="7"/>
      <c r="Y140" s="7"/>
      <c r="Z140" s="7"/>
      <c r="AA140" s="10"/>
      <c r="AB140" s="11"/>
      <c r="AC140" s="10"/>
      <c r="AD140" s="12"/>
      <c r="AE140" s="12"/>
      <c r="AF140" s="12"/>
      <c r="AG140" s="7"/>
      <c r="AH140" s="7"/>
      <c r="AI140" s="5" t="s">
        <v>496</v>
      </c>
    </row>
    <row r="141" customFormat="false" ht="15" hidden="false" customHeight="false" outlineLevel="0" collapsed="false">
      <c r="A141" s="5" t="s">
        <v>341</v>
      </c>
      <c r="B141" s="5" t="s">
        <v>497</v>
      </c>
      <c r="C141" s="5"/>
      <c r="D141" s="5" t="s">
        <v>341</v>
      </c>
      <c r="E141" s="5" t="s">
        <v>60</v>
      </c>
      <c r="F141" s="6" t="n">
        <v>25211.39</v>
      </c>
      <c r="G141" s="7" t="n">
        <v>2931</v>
      </c>
      <c r="H141" s="8" t="n">
        <v>-0.6059</v>
      </c>
      <c r="I141" s="8" t="n">
        <v>-0.6203</v>
      </c>
      <c r="J141" s="7" t="n">
        <v>4</v>
      </c>
      <c r="K141" s="5" t="n">
        <v>7</v>
      </c>
      <c r="L141" s="5" t="n">
        <v>107</v>
      </c>
      <c r="M141" s="5" t="n">
        <v>4.6</v>
      </c>
      <c r="N141" s="9" t="s">
        <v>54</v>
      </c>
      <c r="O141" s="5"/>
      <c r="P141" s="5"/>
      <c r="Q141" s="5"/>
      <c r="R141" s="7"/>
      <c r="S141" s="7"/>
      <c r="T141" s="5"/>
      <c r="U141" s="6"/>
      <c r="V141" s="7"/>
      <c r="W141" s="5"/>
      <c r="X141" s="7"/>
      <c r="Y141" s="7"/>
      <c r="Z141" s="7"/>
      <c r="AA141" s="10"/>
      <c r="AB141" s="11"/>
      <c r="AC141" s="10"/>
      <c r="AD141" s="12"/>
      <c r="AE141" s="12"/>
      <c r="AF141" s="12"/>
      <c r="AG141" s="7"/>
      <c r="AH141" s="7"/>
      <c r="AI141" s="5" t="s">
        <v>498</v>
      </c>
    </row>
    <row r="142" customFormat="false" ht="15" hidden="false" customHeight="false" outlineLevel="0" collapsed="false">
      <c r="A142" s="5" t="s">
        <v>341</v>
      </c>
      <c r="B142" s="5" t="s">
        <v>499</v>
      </c>
      <c r="C142" s="5" t="s">
        <v>500</v>
      </c>
      <c r="D142" s="5" t="s">
        <v>341</v>
      </c>
      <c r="E142" s="5" t="s">
        <v>60</v>
      </c>
      <c r="F142" s="6" t="n">
        <v>24987.41</v>
      </c>
      <c r="G142" s="7" t="n">
        <v>935</v>
      </c>
      <c r="H142" s="8" t="n">
        <v>-0.1508</v>
      </c>
      <c r="I142" s="8" t="n">
        <v>-0.1375</v>
      </c>
      <c r="J142" s="7" t="n">
        <v>0</v>
      </c>
      <c r="K142" s="5" t="n">
        <v>1</v>
      </c>
      <c r="L142" s="5" t="n">
        <v>93</v>
      </c>
      <c r="M142" s="5" t="n">
        <v>3.9</v>
      </c>
      <c r="N142" s="9" t="s">
        <v>54</v>
      </c>
      <c r="O142" s="5"/>
      <c r="P142" s="5"/>
      <c r="Q142" s="5"/>
      <c r="R142" s="7"/>
      <c r="S142" s="7"/>
      <c r="T142" s="5"/>
      <c r="U142" s="6"/>
      <c r="V142" s="7"/>
      <c r="W142" s="5"/>
      <c r="X142" s="7"/>
      <c r="Y142" s="7"/>
      <c r="Z142" s="7"/>
      <c r="AA142" s="10"/>
      <c r="AB142" s="11"/>
      <c r="AC142" s="10"/>
      <c r="AD142" s="12"/>
      <c r="AE142" s="12"/>
      <c r="AF142" s="12"/>
      <c r="AG142" s="7"/>
      <c r="AH142" s="7"/>
      <c r="AI142" s="5" t="s">
        <v>501</v>
      </c>
    </row>
    <row r="143" customFormat="false" ht="15" hidden="false" customHeight="false" outlineLevel="0" collapsed="false">
      <c r="A143" s="5" t="s">
        <v>341</v>
      </c>
      <c r="B143" s="5" t="s">
        <v>502</v>
      </c>
      <c r="C143" s="5"/>
      <c r="D143" s="5" t="s">
        <v>341</v>
      </c>
      <c r="E143" s="5" t="s">
        <v>60</v>
      </c>
      <c r="F143" s="6" t="n">
        <v>24180.69</v>
      </c>
      <c r="G143" s="7" t="n">
        <v>358</v>
      </c>
      <c r="H143" s="8" t="n">
        <v>0</v>
      </c>
      <c r="I143" s="8" t="n">
        <v>0</v>
      </c>
      <c r="J143" s="7" t="n">
        <v>4</v>
      </c>
      <c r="K143" s="5" t="n">
        <v>5</v>
      </c>
      <c r="L143" s="5" t="n">
        <v>17</v>
      </c>
      <c r="M143" s="5" t="n">
        <v>4.1</v>
      </c>
      <c r="N143" s="9" t="s">
        <v>54</v>
      </c>
      <c r="O143" s="5"/>
      <c r="P143" s="5"/>
      <c r="Q143" s="5"/>
      <c r="R143" s="7"/>
      <c r="S143" s="7"/>
      <c r="T143" s="5"/>
      <c r="U143" s="6"/>
      <c r="V143" s="7"/>
      <c r="W143" s="5"/>
      <c r="X143" s="7"/>
      <c r="Y143" s="7"/>
      <c r="Z143" s="7"/>
      <c r="AA143" s="10"/>
      <c r="AB143" s="11"/>
      <c r="AC143" s="10"/>
      <c r="AD143" s="12"/>
      <c r="AE143" s="12"/>
      <c r="AF143" s="12"/>
      <c r="AG143" s="7"/>
      <c r="AH143" s="7"/>
      <c r="AI143" s="5" t="s">
        <v>503</v>
      </c>
    </row>
    <row r="144" customFormat="false" ht="15" hidden="false" customHeight="false" outlineLevel="0" collapsed="false">
      <c r="A144" s="5" t="s">
        <v>341</v>
      </c>
      <c r="B144" s="5" t="s">
        <v>504</v>
      </c>
      <c r="C144" s="5"/>
      <c r="D144" s="5" t="s">
        <v>341</v>
      </c>
      <c r="E144" s="5" t="s">
        <v>53</v>
      </c>
      <c r="F144" s="6" t="n">
        <v>23699.81</v>
      </c>
      <c r="G144" s="7" t="n">
        <v>2258</v>
      </c>
      <c r="H144" s="8" t="n">
        <v>0.1875</v>
      </c>
      <c r="I144" s="8" t="n">
        <v>0.0616</v>
      </c>
      <c r="J144" s="7" t="n">
        <v>291</v>
      </c>
      <c r="K144" s="5" t="n">
        <v>28</v>
      </c>
      <c r="L144" s="5" t="n">
        <v>335</v>
      </c>
      <c r="M144" s="5" t="n">
        <v>4.3</v>
      </c>
      <c r="N144" s="9" t="s">
        <v>54</v>
      </c>
      <c r="O144" s="5"/>
      <c r="P144" s="5"/>
      <c r="Q144" s="5"/>
      <c r="R144" s="7"/>
      <c r="S144" s="7"/>
      <c r="T144" s="5"/>
      <c r="U144" s="6"/>
      <c r="V144" s="7"/>
      <c r="W144" s="5"/>
      <c r="X144" s="7"/>
      <c r="Y144" s="7"/>
      <c r="Z144" s="7"/>
      <c r="AA144" s="10"/>
      <c r="AB144" s="11"/>
      <c r="AC144" s="10"/>
      <c r="AD144" s="12"/>
      <c r="AE144" s="12"/>
      <c r="AF144" s="12"/>
      <c r="AG144" s="7"/>
      <c r="AH144" s="7"/>
      <c r="AI144" s="5" t="s">
        <v>505</v>
      </c>
    </row>
    <row r="145" customFormat="false" ht="15" hidden="false" customHeight="false" outlineLevel="0" collapsed="false">
      <c r="A145" s="5" t="s">
        <v>341</v>
      </c>
      <c r="B145" s="5" t="s">
        <v>506</v>
      </c>
      <c r="C145" s="5" t="s">
        <v>507</v>
      </c>
      <c r="D145" s="5" t="s">
        <v>341</v>
      </c>
      <c r="E145" s="5" t="s">
        <v>53</v>
      </c>
      <c r="F145" s="6" t="n">
        <v>23506.42</v>
      </c>
      <c r="G145" s="7" t="n">
        <v>479</v>
      </c>
      <c r="H145" s="8" t="n">
        <v>0.1002</v>
      </c>
      <c r="I145" s="8" t="n">
        <v>0.0527</v>
      </c>
      <c r="J145" s="7" t="n">
        <v>162</v>
      </c>
      <c r="K145" s="5" t="n">
        <v>57</v>
      </c>
      <c r="L145" s="5" t="n">
        <v>707</v>
      </c>
      <c r="M145" s="5" t="n">
        <v>3.7</v>
      </c>
      <c r="N145" s="9" t="s">
        <v>54</v>
      </c>
      <c r="O145" s="5"/>
      <c r="P145" s="5"/>
      <c r="Q145" s="5"/>
      <c r="R145" s="7"/>
      <c r="S145" s="7"/>
      <c r="T145" s="5"/>
      <c r="U145" s="6"/>
      <c r="V145" s="7"/>
      <c r="W145" s="5"/>
      <c r="X145" s="7"/>
      <c r="Y145" s="7"/>
      <c r="Z145" s="7"/>
      <c r="AA145" s="10"/>
      <c r="AB145" s="11"/>
      <c r="AC145" s="10"/>
      <c r="AD145" s="12"/>
      <c r="AE145" s="12"/>
      <c r="AF145" s="12"/>
      <c r="AG145" s="7"/>
      <c r="AH145" s="7"/>
      <c r="AI145" s="5" t="s">
        <v>508</v>
      </c>
    </row>
    <row r="146" customFormat="false" ht="15" hidden="false" customHeight="false" outlineLevel="0" collapsed="false">
      <c r="A146" s="5" t="s">
        <v>341</v>
      </c>
      <c r="B146" s="5" t="s">
        <v>509</v>
      </c>
      <c r="C146" s="5" t="s">
        <v>510</v>
      </c>
      <c r="D146" s="5" t="s">
        <v>449</v>
      </c>
      <c r="E146" s="5" t="s">
        <v>60</v>
      </c>
      <c r="F146" s="6" t="n">
        <v>23097.48</v>
      </c>
      <c r="G146" s="7" t="n">
        <v>410</v>
      </c>
      <c r="H146" s="8" t="n">
        <v>2.1209</v>
      </c>
      <c r="I146" s="8" t="n">
        <v>0.054</v>
      </c>
      <c r="J146" s="7" t="n">
        <v>30</v>
      </c>
      <c r="K146" s="5" t="n">
        <v>11</v>
      </c>
      <c r="L146" s="5" t="n">
        <v>99</v>
      </c>
      <c r="M146" s="5" t="n">
        <v>4.9</v>
      </c>
      <c r="N146" s="13" t="s">
        <v>61</v>
      </c>
      <c r="O146" s="5"/>
      <c r="P146" s="5"/>
      <c r="Q146" s="5"/>
      <c r="R146" s="7"/>
      <c r="S146" s="7"/>
      <c r="T146" s="5"/>
      <c r="U146" s="6"/>
      <c r="V146" s="7"/>
      <c r="W146" s="5"/>
      <c r="X146" s="7"/>
      <c r="Y146" s="7"/>
      <c r="Z146" s="7"/>
      <c r="AA146" s="10"/>
      <c r="AB146" s="11"/>
      <c r="AC146" s="10"/>
      <c r="AD146" s="12"/>
      <c r="AE146" s="12"/>
      <c r="AF146" s="12"/>
      <c r="AG146" s="7"/>
      <c r="AH146" s="7"/>
      <c r="AI146" s="5" t="s">
        <v>511</v>
      </c>
    </row>
    <row r="147" customFormat="false" ht="15" hidden="false" customHeight="false" outlineLevel="0" collapsed="false">
      <c r="A147" s="5" t="s">
        <v>341</v>
      </c>
      <c r="B147" s="5" t="s">
        <v>512</v>
      </c>
      <c r="C147" s="5" t="s">
        <v>513</v>
      </c>
      <c r="D147" s="5" t="s">
        <v>341</v>
      </c>
      <c r="E147" s="5" t="s">
        <v>53</v>
      </c>
      <c r="F147" s="6" t="n">
        <v>22966.86</v>
      </c>
      <c r="G147" s="7" t="n">
        <v>334</v>
      </c>
      <c r="H147" s="8" t="n">
        <v>12.3961</v>
      </c>
      <c r="I147" s="8" t="n">
        <v>7.35</v>
      </c>
      <c r="J147" s="7" t="n">
        <v>15</v>
      </c>
      <c r="K147" s="5" t="n">
        <v>26</v>
      </c>
      <c r="L147" s="5" t="n">
        <v>332</v>
      </c>
      <c r="M147" s="5" t="n">
        <v>3.5</v>
      </c>
      <c r="N147" s="9" t="s">
        <v>54</v>
      </c>
      <c r="O147" s="5"/>
      <c r="P147" s="5"/>
      <c r="Q147" s="5"/>
      <c r="R147" s="7"/>
      <c r="S147" s="7"/>
      <c r="T147" s="5"/>
      <c r="U147" s="6"/>
      <c r="V147" s="7"/>
      <c r="W147" s="5"/>
      <c r="X147" s="7"/>
      <c r="Y147" s="7"/>
      <c r="Z147" s="7"/>
      <c r="AA147" s="10"/>
      <c r="AB147" s="11"/>
      <c r="AC147" s="10"/>
      <c r="AD147" s="12"/>
      <c r="AE147" s="12"/>
      <c r="AF147" s="12"/>
      <c r="AG147" s="7"/>
      <c r="AH147" s="7"/>
      <c r="AI147" s="5" t="s">
        <v>514</v>
      </c>
    </row>
    <row r="148" customFormat="false" ht="15" hidden="false" customHeight="false" outlineLevel="0" collapsed="false">
      <c r="A148" s="5" t="s">
        <v>341</v>
      </c>
      <c r="B148" s="5" t="s">
        <v>515</v>
      </c>
      <c r="C148" s="5" t="s">
        <v>516</v>
      </c>
      <c r="D148" s="5" t="s">
        <v>341</v>
      </c>
      <c r="E148" s="5" t="s">
        <v>60</v>
      </c>
      <c r="F148" s="6" t="n">
        <v>21537.16</v>
      </c>
      <c r="G148" s="7" t="n">
        <v>1118</v>
      </c>
      <c r="H148" s="8" t="n">
        <v>-0.4629</v>
      </c>
      <c r="I148" s="8" t="n">
        <v>-0.5407</v>
      </c>
      <c r="J148" s="7" t="n">
        <v>317</v>
      </c>
      <c r="K148" s="5" t="n">
        <v>32</v>
      </c>
      <c r="L148" s="5" t="n">
        <v>83</v>
      </c>
      <c r="M148" s="5" t="n">
        <v>4.5</v>
      </c>
      <c r="N148" s="9" t="s">
        <v>54</v>
      </c>
      <c r="O148" s="5"/>
      <c r="P148" s="5" t="s">
        <v>517</v>
      </c>
      <c r="Q148" s="14" t="s">
        <v>518</v>
      </c>
      <c r="R148" s="7" t="n">
        <v>851</v>
      </c>
      <c r="S148" s="7" t="n">
        <v>78</v>
      </c>
      <c r="T148" s="5" t="s">
        <v>519</v>
      </c>
      <c r="U148" s="6" t="n">
        <v>233910.13</v>
      </c>
      <c r="V148" s="7" t="n">
        <v>17133</v>
      </c>
      <c r="W148" s="5" t="n">
        <v>274</v>
      </c>
      <c r="X148" s="7" t="n">
        <v>2125</v>
      </c>
      <c r="Y148" s="7" t="n">
        <v>3797</v>
      </c>
      <c r="Z148" s="7" t="n">
        <v>502</v>
      </c>
      <c r="AA148" s="10" t="n">
        <v>1</v>
      </c>
      <c r="AB148" s="11" t="n">
        <v>155.37</v>
      </c>
      <c r="AC148" s="10" t="n">
        <v>14.92</v>
      </c>
      <c r="AD148" s="12" t="n">
        <v>0.6</v>
      </c>
      <c r="AE148" s="12" t="n">
        <v>0.85</v>
      </c>
      <c r="AF148" s="12" t="n">
        <v>0.99</v>
      </c>
      <c r="AG148" s="7" t="n">
        <v>71</v>
      </c>
      <c r="AH148" s="7" t="n">
        <v>1948</v>
      </c>
      <c r="AI148" s="5" t="s">
        <v>520</v>
      </c>
    </row>
    <row r="149" customFormat="false" ht="15" hidden="false" customHeight="false" outlineLevel="0" collapsed="false">
      <c r="A149" s="5" t="s">
        <v>341</v>
      </c>
      <c r="B149" s="5" t="s">
        <v>521</v>
      </c>
      <c r="C149" s="5" t="s">
        <v>522</v>
      </c>
      <c r="D149" s="5" t="s">
        <v>341</v>
      </c>
      <c r="E149" s="5" t="s">
        <v>60</v>
      </c>
      <c r="F149" s="6" t="n">
        <v>20749.76</v>
      </c>
      <c r="G149" s="7" t="n">
        <v>964</v>
      </c>
      <c r="H149" s="8" t="n">
        <v>-0.2506</v>
      </c>
      <c r="I149" s="8" t="n">
        <v>-0.1768</v>
      </c>
      <c r="J149" s="7" t="n">
        <v>76</v>
      </c>
      <c r="K149" s="5" t="n">
        <v>8</v>
      </c>
      <c r="L149" s="5" t="n">
        <v>12</v>
      </c>
      <c r="M149" s="5" t="n">
        <v>3.9</v>
      </c>
      <c r="N149" s="9" t="s">
        <v>54</v>
      </c>
      <c r="O149" s="5"/>
      <c r="P149" s="5"/>
      <c r="Q149" s="5"/>
      <c r="R149" s="7"/>
      <c r="S149" s="7"/>
      <c r="T149" s="5"/>
      <c r="U149" s="6"/>
      <c r="V149" s="7"/>
      <c r="W149" s="5"/>
      <c r="X149" s="7"/>
      <c r="Y149" s="7"/>
      <c r="Z149" s="7"/>
      <c r="AA149" s="10"/>
      <c r="AB149" s="11"/>
      <c r="AC149" s="10"/>
      <c r="AD149" s="12"/>
      <c r="AE149" s="12"/>
      <c r="AF149" s="12"/>
      <c r="AG149" s="7"/>
      <c r="AH149" s="7"/>
      <c r="AI149" s="5" t="s">
        <v>523</v>
      </c>
    </row>
    <row r="150" customFormat="false" ht="15" hidden="false" customHeight="false" outlineLevel="0" collapsed="false">
      <c r="A150" s="5" t="s">
        <v>341</v>
      </c>
      <c r="B150" s="5" t="s">
        <v>524</v>
      </c>
      <c r="C150" s="5"/>
      <c r="D150" s="5" t="s">
        <v>341</v>
      </c>
      <c r="E150" s="5" t="s">
        <v>60</v>
      </c>
      <c r="F150" s="6" t="n">
        <v>20743.24</v>
      </c>
      <c r="G150" s="7" t="n">
        <v>1609</v>
      </c>
      <c r="H150" s="8" t="n">
        <v>0.2304</v>
      </c>
      <c r="I150" s="8" t="n">
        <v>-0.0301</v>
      </c>
      <c r="J150" s="7" t="n">
        <v>247</v>
      </c>
      <c r="K150" s="5" t="n">
        <v>17</v>
      </c>
      <c r="L150" s="5" t="n">
        <v>57</v>
      </c>
      <c r="M150" s="5" t="n">
        <v>4.4</v>
      </c>
      <c r="N150" s="9" t="s">
        <v>54</v>
      </c>
      <c r="O150" s="5" t="s">
        <v>258</v>
      </c>
      <c r="P150" s="5"/>
      <c r="Q150" s="5"/>
      <c r="R150" s="7"/>
      <c r="S150" s="7"/>
      <c r="T150" s="5" t="s">
        <v>525</v>
      </c>
      <c r="U150" s="6" t="n">
        <v>59388.07</v>
      </c>
      <c r="V150" s="7" t="n">
        <v>6298</v>
      </c>
      <c r="W150" s="5" t="n">
        <v>68</v>
      </c>
      <c r="X150" s="7" t="n">
        <v>22</v>
      </c>
      <c r="Y150" s="7" t="n">
        <v>183</v>
      </c>
      <c r="Z150" s="7" t="n">
        <v>103</v>
      </c>
      <c r="AA150" s="10" t="n">
        <v>2.5</v>
      </c>
      <c r="AB150" s="11" t="n">
        <v>528</v>
      </c>
      <c r="AC150" s="10"/>
      <c r="AD150" s="12"/>
      <c r="AE150" s="12"/>
      <c r="AF150" s="12"/>
      <c r="AG150" s="7" t="n">
        <v>79</v>
      </c>
      <c r="AH150" s="7" t="n">
        <v>2169</v>
      </c>
      <c r="AI150" s="5" t="s">
        <v>526</v>
      </c>
    </row>
    <row r="151" customFormat="false" ht="15" hidden="false" customHeight="false" outlineLevel="0" collapsed="false">
      <c r="A151" s="5" t="s">
        <v>341</v>
      </c>
      <c r="B151" s="5" t="s">
        <v>527</v>
      </c>
      <c r="C151" s="5" t="s">
        <v>528</v>
      </c>
      <c r="D151" s="5" t="s">
        <v>341</v>
      </c>
      <c r="E151" s="5" t="s">
        <v>60</v>
      </c>
      <c r="F151" s="6" t="n">
        <v>19945.64</v>
      </c>
      <c r="G151" s="7" t="n">
        <v>1241</v>
      </c>
      <c r="H151" s="8" t="n">
        <v>-0.2176</v>
      </c>
      <c r="I151" s="8" t="n">
        <v>-0.252</v>
      </c>
      <c r="J151" s="7" t="n">
        <v>46</v>
      </c>
      <c r="K151" s="5" t="n">
        <v>31</v>
      </c>
      <c r="L151" s="5" t="n">
        <v>39</v>
      </c>
      <c r="M151" s="5" t="n">
        <v>4.4</v>
      </c>
      <c r="N151" s="9" t="s">
        <v>54</v>
      </c>
      <c r="O151" s="5"/>
      <c r="P151" s="5"/>
      <c r="Q151" s="5"/>
      <c r="R151" s="7"/>
      <c r="S151" s="7"/>
      <c r="T151" s="5"/>
      <c r="U151" s="6"/>
      <c r="V151" s="7"/>
      <c r="W151" s="5"/>
      <c r="X151" s="7"/>
      <c r="Y151" s="7"/>
      <c r="Z151" s="7"/>
      <c r="AA151" s="10"/>
      <c r="AB151" s="11"/>
      <c r="AC151" s="10"/>
      <c r="AD151" s="12"/>
      <c r="AE151" s="12"/>
      <c r="AF151" s="12"/>
      <c r="AG151" s="7"/>
      <c r="AH151" s="7"/>
      <c r="AI151" s="5" t="s">
        <v>529</v>
      </c>
    </row>
    <row r="152" customFormat="false" ht="15" hidden="false" customHeight="false" outlineLevel="0" collapsed="false">
      <c r="A152" s="5" t="s">
        <v>341</v>
      </c>
      <c r="B152" s="5" t="s">
        <v>530</v>
      </c>
      <c r="C152" s="5"/>
      <c r="D152" s="5" t="s">
        <v>341</v>
      </c>
      <c r="E152" s="5" t="s">
        <v>60</v>
      </c>
      <c r="F152" s="6" t="n">
        <v>19225.77</v>
      </c>
      <c r="G152" s="7" t="n">
        <v>955</v>
      </c>
      <c r="H152" s="8" t="n">
        <v>0</v>
      </c>
      <c r="I152" s="8" t="n">
        <v>0</v>
      </c>
      <c r="J152" s="7" t="n">
        <v>9</v>
      </c>
      <c r="K152" s="5" t="n">
        <v>12</v>
      </c>
      <c r="L152" s="5" t="n">
        <v>82</v>
      </c>
      <c r="M152" s="5" t="n">
        <v>4.1</v>
      </c>
      <c r="N152" s="9" t="s">
        <v>54</v>
      </c>
      <c r="O152" s="5"/>
      <c r="P152" s="5"/>
      <c r="Q152" s="5"/>
      <c r="R152" s="7"/>
      <c r="S152" s="7"/>
      <c r="T152" s="5"/>
      <c r="U152" s="6"/>
      <c r="V152" s="7"/>
      <c r="W152" s="5"/>
      <c r="X152" s="7"/>
      <c r="Y152" s="7"/>
      <c r="Z152" s="7"/>
      <c r="AA152" s="10"/>
      <c r="AB152" s="11"/>
      <c r="AC152" s="10"/>
      <c r="AD152" s="12"/>
      <c r="AE152" s="12"/>
      <c r="AF152" s="12"/>
      <c r="AG152" s="7"/>
      <c r="AH152" s="7"/>
      <c r="AI152" s="5" t="s">
        <v>531</v>
      </c>
    </row>
    <row r="153" customFormat="false" ht="15" hidden="false" customHeight="false" outlineLevel="0" collapsed="false">
      <c r="A153" s="5" t="s">
        <v>341</v>
      </c>
      <c r="B153" s="5" t="s">
        <v>532</v>
      </c>
      <c r="C153" s="5" t="s">
        <v>533</v>
      </c>
      <c r="D153" s="5" t="s">
        <v>341</v>
      </c>
      <c r="E153" s="5" t="s">
        <v>53</v>
      </c>
      <c r="F153" s="6" t="n">
        <v>18936.96</v>
      </c>
      <c r="G153" s="7" t="n">
        <v>1067</v>
      </c>
      <c r="H153" s="8" t="n">
        <v>-0.3001</v>
      </c>
      <c r="I153" s="8" t="n">
        <v>-0.3335</v>
      </c>
      <c r="J153" s="7" t="n">
        <v>180</v>
      </c>
      <c r="K153" s="5" t="n">
        <v>126</v>
      </c>
      <c r="L153" s="5" t="n">
        <v>887</v>
      </c>
      <c r="M153" s="5" t="n">
        <v>4.6</v>
      </c>
      <c r="N153" s="9" t="s">
        <v>54</v>
      </c>
      <c r="O153" s="5"/>
      <c r="P153" s="5"/>
      <c r="Q153" s="5"/>
      <c r="R153" s="7"/>
      <c r="S153" s="7"/>
      <c r="T153" s="5"/>
      <c r="U153" s="6"/>
      <c r="V153" s="7"/>
      <c r="W153" s="5"/>
      <c r="X153" s="7"/>
      <c r="Y153" s="7"/>
      <c r="Z153" s="7"/>
      <c r="AA153" s="10"/>
      <c r="AB153" s="11"/>
      <c r="AC153" s="10"/>
      <c r="AD153" s="12"/>
      <c r="AE153" s="12"/>
      <c r="AF153" s="12"/>
      <c r="AG153" s="7"/>
      <c r="AH153" s="7"/>
      <c r="AI153" s="5" t="s">
        <v>534</v>
      </c>
    </row>
    <row r="154" customFormat="false" ht="15" hidden="false" customHeight="false" outlineLevel="0" collapsed="false">
      <c r="A154" s="5" t="s">
        <v>341</v>
      </c>
      <c r="B154" s="5" t="s">
        <v>535</v>
      </c>
      <c r="C154" s="5" t="s">
        <v>536</v>
      </c>
      <c r="D154" s="5" t="s">
        <v>341</v>
      </c>
      <c r="E154" s="5" t="s">
        <v>60</v>
      </c>
      <c r="F154" s="6" t="n">
        <v>18717.89</v>
      </c>
      <c r="G154" s="7" t="n">
        <v>787</v>
      </c>
      <c r="H154" s="8" t="n">
        <v>0.1075</v>
      </c>
      <c r="I154" s="8" t="n">
        <v>0.009</v>
      </c>
      <c r="J154" s="7" t="n">
        <v>167</v>
      </c>
      <c r="K154" s="5" t="n">
        <v>67</v>
      </c>
      <c r="L154" s="5" t="n">
        <v>187</v>
      </c>
      <c r="M154" s="5" t="n">
        <v>4</v>
      </c>
      <c r="N154" s="9" t="s">
        <v>54</v>
      </c>
      <c r="O154" s="5"/>
      <c r="P154" s="5" t="s">
        <v>537</v>
      </c>
      <c r="Q154" s="14" t="s">
        <v>538</v>
      </c>
      <c r="R154" s="7" t="n">
        <v>1211</v>
      </c>
      <c r="S154" s="7" t="n">
        <v>56</v>
      </c>
      <c r="T154" s="5" t="s">
        <v>539</v>
      </c>
      <c r="U154" s="6" t="n">
        <v>298650.36</v>
      </c>
      <c r="V154" s="7" t="n">
        <v>18476</v>
      </c>
      <c r="W154" s="5" t="n">
        <v>621</v>
      </c>
      <c r="X154" s="7" t="n">
        <v>725</v>
      </c>
      <c r="Y154" s="7" t="n">
        <v>2981</v>
      </c>
      <c r="Z154" s="7" t="n">
        <v>307</v>
      </c>
      <c r="AA154" s="10" t="n">
        <v>1</v>
      </c>
      <c r="AB154" s="11" t="n">
        <v>1142</v>
      </c>
      <c r="AC154" s="10" t="n">
        <v>15.57</v>
      </c>
      <c r="AD154" s="12" t="n">
        <v>0.86</v>
      </c>
      <c r="AE154" s="12" t="n">
        <v>0.78</v>
      </c>
      <c r="AF154" s="12" t="n">
        <v>0.98</v>
      </c>
      <c r="AG154" s="7" t="n">
        <v>84</v>
      </c>
      <c r="AH154" s="7" t="n">
        <v>2302</v>
      </c>
      <c r="AI154" s="5" t="s">
        <v>540</v>
      </c>
    </row>
    <row r="155" customFormat="false" ht="15" hidden="false" customHeight="false" outlineLevel="0" collapsed="false">
      <c r="A155" s="5" t="s">
        <v>341</v>
      </c>
      <c r="B155" s="5" t="s">
        <v>541</v>
      </c>
      <c r="C155" s="5" t="s">
        <v>542</v>
      </c>
      <c r="D155" s="5" t="s">
        <v>341</v>
      </c>
      <c r="E155" s="5" t="s">
        <v>60</v>
      </c>
      <c r="F155" s="6" t="n">
        <v>18563.87</v>
      </c>
      <c r="G155" s="7" t="n">
        <v>536</v>
      </c>
      <c r="H155" s="8" t="n">
        <v>-0.2932</v>
      </c>
      <c r="I155" s="8" t="n">
        <v>-0.3596</v>
      </c>
      <c r="J155" s="7" t="n">
        <v>185</v>
      </c>
      <c r="K155" s="5" t="n">
        <v>16</v>
      </c>
      <c r="L155" s="5" t="n">
        <v>108</v>
      </c>
      <c r="M155" s="5" t="n">
        <v>4.6</v>
      </c>
      <c r="N155" s="9" t="s">
        <v>54</v>
      </c>
      <c r="O155" s="5"/>
      <c r="P155" s="5" t="s">
        <v>543</v>
      </c>
      <c r="Q155" s="14" t="s">
        <v>544</v>
      </c>
      <c r="R155" s="7" t="n">
        <v>3245</v>
      </c>
      <c r="S155" s="7" t="n">
        <v>1158</v>
      </c>
      <c r="T155" s="5" t="s">
        <v>545</v>
      </c>
      <c r="U155" s="6" t="n">
        <v>1478602.83</v>
      </c>
      <c r="V155" s="7" t="n">
        <v>82792</v>
      </c>
      <c r="W155" s="5" t="n">
        <v>328</v>
      </c>
      <c r="X155" s="7" t="n">
        <v>687</v>
      </c>
      <c r="Y155" s="7" t="n">
        <v>3847</v>
      </c>
      <c r="Z155" s="7" t="n">
        <v>949</v>
      </c>
      <c r="AA155" s="10" t="n">
        <v>1</v>
      </c>
      <c r="AB155" s="11" t="n">
        <v>586.8</v>
      </c>
      <c r="AC155" s="10" t="n">
        <v>19.17</v>
      </c>
      <c r="AD155" s="12" t="n">
        <v>0.65</v>
      </c>
      <c r="AE155" s="12" t="n">
        <v>0.84</v>
      </c>
      <c r="AF155" s="12" t="n">
        <v>1</v>
      </c>
      <c r="AG155" s="7" t="n">
        <v>64</v>
      </c>
      <c r="AH155" s="7" t="n">
        <v>1758</v>
      </c>
      <c r="AI155" s="5" t="s">
        <v>546</v>
      </c>
    </row>
    <row r="156" customFormat="false" ht="15" hidden="false" customHeight="false" outlineLevel="0" collapsed="false">
      <c r="A156" s="5" t="s">
        <v>341</v>
      </c>
      <c r="B156" s="5" t="s">
        <v>547</v>
      </c>
      <c r="C156" s="5"/>
      <c r="D156" s="5" t="s">
        <v>341</v>
      </c>
      <c r="E156" s="5" t="s">
        <v>60</v>
      </c>
      <c r="F156" s="6" t="n">
        <v>17787.03</v>
      </c>
      <c r="G156" s="7" t="n">
        <v>333</v>
      </c>
      <c r="H156" s="8" t="n">
        <v>-0.3644</v>
      </c>
      <c r="I156" s="8" t="n">
        <v>-0.4478</v>
      </c>
      <c r="J156" s="7" t="n">
        <v>36</v>
      </c>
      <c r="K156" s="5" t="n">
        <v>8</v>
      </c>
      <c r="L156" s="5" t="n">
        <v>16</v>
      </c>
      <c r="M156" s="5" t="n">
        <v>4.5</v>
      </c>
      <c r="N156" s="9" t="s">
        <v>54</v>
      </c>
      <c r="O156" s="5"/>
      <c r="P156" s="5"/>
      <c r="Q156" s="5"/>
      <c r="R156" s="7"/>
      <c r="S156" s="7"/>
      <c r="T156" s="5"/>
      <c r="U156" s="6"/>
      <c r="V156" s="7"/>
      <c r="W156" s="5"/>
      <c r="X156" s="7"/>
      <c r="Y156" s="7"/>
      <c r="Z156" s="7"/>
      <c r="AA156" s="10"/>
      <c r="AB156" s="11"/>
      <c r="AC156" s="10"/>
      <c r="AD156" s="12"/>
      <c r="AE156" s="12"/>
      <c r="AF156" s="12"/>
      <c r="AG156" s="7"/>
      <c r="AH156" s="7"/>
      <c r="AI156" s="5" t="s">
        <v>548</v>
      </c>
    </row>
    <row r="157" customFormat="false" ht="15" hidden="false" customHeight="false" outlineLevel="0" collapsed="false">
      <c r="A157" s="5" t="s">
        <v>341</v>
      </c>
      <c r="B157" s="5" t="s">
        <v>549</v>
      </c>
      <c r="C157" s="5" t="s">
        <v>550</v>
      </c>
      <c r="D157" s="5" t="s">
        <v>341</v>
      </c>
      <c r="E157" s="5" t="s">
        <v>53</v>
      </c>
      <c r="F157" s="6" t="n">
        <v>17581.6</v>
      </c>
      <c r="G157" s="7" t="n">
        <v>4659</v>
      </c>
      <c r="H157" s="8" t="n">
        <v>0.0763</v>
      </c>
      <c r="I157" s="8" t="n">
        <v>0.0733</v>
      </c>
      <c r="J157" s="7" t="n">
        <v>781</v>
      </c>
      <c r="K157" s="5" t="n">
        <v>221</v>
      </c>
      <c r="L157" s="5" t="n">
        <v>355</v>
      </c>
      <c r="M157" s="5" t="n">
        <v>4.9</v>
      </c>
      <c r="N157" s="9" t="s">
        <v>54</v>
      </c>
      <c r="O157" s="5"/>
      <c r="P157" s="5"/>
      <c r="Q157" s="5"/>
      <c r="R157" s="7"/>
      <c r="S157" s="7"/>
      <c r="T157" s="5"/>
      <c r="U157" s="6"/>
      <c r="V157" s="7"/>
      <c r="W157" s="5"/>
      <c r="X157" s="7"/>
      <c r="Y157" s="7"/>
      <c r="Z157" s="7"/>
      <c r="AA157" s="10"/>
      <c r="AB157" s="11"/>
      <c r="AC157" s="10"/>
      <c r="AD157" s="12"/>
      <c r="AE157" s="12"/>
      <c r="AF157" s="12"/>
      <c r="AG157" s="7"/>
      <c r="AH157" s="7"/>
      <c r="AI157" s="5" t="s">
        <v>551</v>
      </c>
    </row>
    <row r="158" customFormat="false" ht="15" hidden="false" customHeight="false" outlineLevel="0" collapsed="false">
      <c r="A158" s="5" t="s">
        <v>341</v>
      </c>
      <c r="B158" s="5" t="s">
        <v>552</v>
      </c>
      <c r="C158" s="5"/>
      <c r="D158" s="5" t="s">
        <v>341</v>
      </c>
      <c r="E158" s="5" t="s">
        <v>60</v>
      </c>
      <c r="F158" s="6" t="n">
        <v>17565.28</v>
      </c>
      <c r="G158" s="7" t="n">
        <v>530</v>
      </c>
      <c r="H158" s="8" t="n">
        <v>0</v>
      </c>
      <c r="I158" s="8" t="n">
        <v>0</v>
      </c>
      <c r="J158" s="7" t="n">
        <v>0</v>
      </c>
      <c r="K158" s="5" t="n">
        <v>1</v>
      </c>
      <c r="L158" s="5" t="n">
        <v>23</v>
      </c>
      <c r="M158" s="5" t="n">
        <v>4.4</v>
      </c>
      <c r="N158" s="9" t="s">
        <v>54</v>
      </c>
      <c r="O158" s="5"/>
      <c r="P158" s="5"/>
      <c r="Q158" s="5"/>
      <c r="R158" s="7"/>
      <c r="S158" s="7"/>
      <c r="T158" s="5"/>
      <c r="U158" s="6"/>
      <c r="V158" s="7"/>
      <c r="W158" s="5"/>
      <c r="X158" s="7"/>
      <c r="Y158" s="7"/>
      <c r="Z158" s="7"/>
      <c r="AA158" s="10"/>
      <c r="AB158" s="11"/>
      <c r="AC158" s="10"/>
      <c r="AD158" s="12"/>
      <c r="AE158" s="12"/>
      <c r="AF158" s="12"/>
      <c r="AG158" s="7"/>
      <c r="AH158" s="7"/>
      <c r="AI158" s="5" t="s">
        <v>553</v>
      </c>
    </row>
    <row r="159" customFormat="false" ht="15" hidden="false" customHeight="false" outlineLevel="0" collapsed="false">
      <c r="A159" s="5" t="s">
        <v>341</v>
      </c>
      <c r="B159" s="5" t="s">
        <v>554</v>
      </c>
      <c r="C159" s="5"/>
      <c r="D159" s="5" t="s">
        <v>341</v>
      </c>
      <c r="E159" s="5" t="s">
        <v>60</v>
      </c>
      <c r="F159" s="6" t="n">
        <v>17544.49</v>
      </c>
      <c r="G159" s="7" t="n">
        <v>705</v>
      </c>
      <c r="H159" s="8" t="n">
        <v>1.2846</v>
      </c>
      <c r="I159" s="8" t="n">
        <v>1.8893</v>
      </c>
      <c r="J159" s="7" t="n">
        <v>160</v>
      </c>
      <c r="K159" s="5" t="n">
        <v>24</v>
      </c>
      <c r="L159" s="5" t="n">
        <v>56</v>
      </c>
      <c r="M159" s="5" t="n">
        <v>3.4</v>
      </c>
      <c r="N159" s="9" t="s">
        <v>54</v>
      </c>
      <c r="O159" s="5" t="s">
        <v>258</v>
      </c>
      <c r="P159" s="5"/>
      <c r="Q159" s="5"/>
      <c r="R159" s="7"/>
      <c r="S159" s="7"/>
      <c r="T159" s="5" t="s">
        <v>555</v>
      </c>
      <c r="U159" s="6" t="n">
        <v>26247.09</v>
      </c>
      <c r="V159" s="7" t="n">
        <v>1199</v>
      </c>
      <c r="W159" s="5" t="n">
        <v>57</v>
      </c>
      <c r="X159" s="7" t="n">
        <v>77</v>
      </c>
      <c r="Y159" s="7" t="n">
        <v>95</v>
      </c>
      <c r="Z159" s="7" t="n">
        <v>143</v>
      </c>
      <c r="AA159" s="10" t="n">
        <v>7.99</v>
      </c>
      <c r="AB159" s="11" t="n">
        <v>43.49</v>
      </c>
      <c r="AC159" s="10"/>
      <c r="AD159" s="12"/>
      <c r="AE159" s="12"/>
      <c r="AF159" s="12"/>
      <c r="AG159" s="7" t="n">
        <v>86</v>
      </c>
      <c r="AH159" s="7" t="n">
        <v>2345</v>
      </c>
      <c r="AI159" s="5" t="s">
        <v>556</v>
      </c>
    </row>
    <row r="160" customFormat="false" ht="15" hidden="false" customHeight="false" outlineLevel="0" collapsed="false">
      <c r="A160" s="5" t="s">
        <v>341</v>
      </c>
      <c r="B160" s="5" t="s">
        <v>557</v>
      </c>
      <c r="C160" s="5"/>
      <c r="D160" s="5" t="s">
        <v>341</v>
      </c>
      <c r="E160" s="5" t="s">
        <v>60</v>
      </c>
      <c r="F160" s="6" t="n">
        <v>17429.34</v>
      </c>
      <c r="G160" s="7" t="n">
        <v>1014</v>
      </c>
      <c r="H160" s="8" t="n">
        <v>0</v>
      </c>
      <c r="I160" s="8" t="n">
        <v>0</v>
      </c>
      <c r="J160" s="7" t="n">
        <v>18</v>
      </c>
      <c r="K160" s="5" t="n">
        <v>24</v>
      </c>
      <c r="L160" s="5" t="n">
        <v>43</v>
      </c>
      <c r="M160" s="5" t="n">
        <v>4</v>
      </c>
      <c r="N160" s="9" t="s">
        <v>54</v>
      </c>
      <c r="O160" s="5"/>
      <c r="P160" s="5"/>
      <c r="Q160" s="5"/>
      <c r="R160" s="7"/>
      <c r="S160" s="7"/>
      <c r="T160" s="5"/>
      <c r="U160" s="6"/>
      <c r="V160" s="7"/>
      <c r="W160" s="5"/>
      <c r="X160" s="7"/>
      <c r="Y160" s="7"/>
      <c r="Z160" s="7"/>
      <c r="AA160" s="10"/>
      <c r="AB160" s="11"/>
      <c r="AC160" s="10"/>
      <c r="AD160" s="12"/>
      <c r="AE160" s="12"/>
      <c r="AF160" s="12"/>
      <c r="AG160" s="7"/>
      <c r="AH160" s="7"/>
      <c r="AI160" s="5" t="s">
        <v>558</v>
      </c>
    </row>
    <row r="161" customFormat="false" ht="15" hidden="false" customHeight="false" outlineLevel="0" collapsed="false">
      <c r="A161" s="5" t="s">
        <v>341</v>
      </c>
      <c r="B161" s="5" t="s">
        <v>559</v>
      </c>
      <c r="C161" s="5"/>
      <c r="D161" s="5" t="s">
        <v>341</v>
      </c>
      <c r="E161" s="5" t="s">
        <v>53</v>
      </c>
      <c r="F161" s="6" t="n">
        <v>17179.02</v>
      </c>
      <c r="G161" s="7" t="n">
        <v>2389</v>
      </c>
      <c r="H161" s="8" t="n">
        <v>-0.212</v>
      </c>
      <c r="I161" s="8" t="n">
        <v>-0.2802</v>
      </c>
      <c r="J161" s="7" t="n">
        <v>301</v>
      </c>
      <c r="K161" s="5" t="n">
        <v>129</v>
      </c>
      <c r="L161" s="5" t="n">
        <v>1222</v>
      </c>
      <c r="M161" s="5" t="n">
        <v>3.8</v>
      </c>
      <c r="N161" s="9" t="s">
        <v>54</v>
      </c>
      <c r="O161" s="5"/>
      <c r="P161" s="5"/>
      <c r="Q161" s="5"/>
      <c r="R161" s="7"/>
      <c r="S161" s="7"/>
      <c r="T161" s="5"/>
      <c r="U161" s="6"/>
      <c r="V161" s="7"/>
      <c r="W161" s="5"/>
      <c r="X161" s="7"/>
      <c r="Y161" s="7"/>
      <c r="Z161" s="7"/>
      <c r="AA161" s="10"/>
      <c r="AB161" s="11"/>
      <c r="AC161" s="10"/>
      <c r="AD161" s="12"/>
      <c r="AE161" s="12"/>
      <c r="AF161" s="12"/>
      <c r="AG161" s="7"/>
      <c r="AH161" s="7"/>
      <c r="AI161" s="5" t="s">
        <v>560</v>
      </c>
    </row>
    <row r="162" customFormat="false" ht="15" hidden="false" customHeight="false" outlineLevel="0" collapsed="false">
      <c r="A162" s="5" t="s">
        <v>341</v>
      </c>
      <c r="B162" s="5" t="s">
        <v>561</v>
      </c>
      <c r="C162" s="5"/>
      <c r="D162" s="5" t="s">
        <v>420</v>
      </c>
      <c r="E162" s="5" t="s">
        <v>60</v>
      </c>
      <c r="F162" s="6" t="n">
        <v>16925.07</v>
      </c>
      <c r="G162" s="7" t="n">
        <v>618</v>
      </c>
      <c r="H162" s="8" t="n">
        <v>5.8076</v>
      </c>
      <c r="I162" s="8" t="n">
        <v>11.1176</v>
      </c>
      <c r="J162" s="7" t="n">
        <v>202</v>
      </c>
      <c r="K162" s="5" t="n">
        <v>10</v>
      </c>
      <c r="L162" s="5" t="n">
        <v>120</v>
      </c>
      <c r="M162" s="5" t="n">
        <v>4.4</v>
      </c>
      <c r="N162" s="13" t="s">
        <v>61</v>
      </c>
      <c r="O162" s="5"/>
      <c r="P162" s="5"/>
      <c r="Q162" s="5"/>
      <c r="R162" s="7"/>
      <c r="S162" s="7"/>
      <c r="T162" s="5"/>
      <c r="U162" s="6"/>
      <c r="V162" s="7"/>
      <c r="W162" s="5"/>
      <c r="X162" s="7"/>
      <c r="Y162" s="7"/>
      <c r="Z162" s="7"/>
      <c r="AA162" s="10"/>
      <c r="AB162" s="11"/>
      <c r="AC162" s="10"/>
      <c r="AD162" s="12"/>
      <c r="AE162" s="12"/>
      <c r="AF162" s="12"/>
      <c r="AG162" s="7"/>
      <c r="AH162" s="7"/>
      <c r="AI162" s="5" t="s">
        <v>562</v>
      </c>
    </row>
    <row r="163" customFormat="false" ht="15" hidden="false" customHeight="false" outlineLevel="0" collapsed="false">
      <c r="A163" s="5" t="s">
        <v>341</v>
      </c>
      <c r="B163" s="5" t="s">
        <v>563</v>
      </c>
      <c r="C163" s="5"/>
      <c r="D163" s="5" t="s">
        <v>341</v>
      </c>
      <c r="E163" s="5" t="s">
        <v>53</v>
      </c>
      <c r="F163" s="6" t="n">
        <v>16681.55</v>
      </c>
      <c r="G163" s="7" t="n">
        <v>281</v>
      </c>
      <c r="H163" s="8" t="n">
        <v>6.8414</v>
      </c>
      <c r="I163" s="8" t="n">
        <v>8.3667</v>
      </c>
      <c r="J163" s="7" t="n">
        <v>21</v>
      </c>
      <c r="K163" s="5" t="n">
        <v>21</v>
      </c>
      <c r="L163" s="5" t="n">
        <v>428</v>
      </c>
      <c r="M163" s="5" t="n">
        <v>3.2</v>
      </c>
      <c r="N163" s="9" t="s">
        <v>54</v>
      </c>
      <c r="O163" s="5"/>
      <c r="P163" s="5"/>
      <c r="Q163" s="5"/>
      <c r="R163" s="7"/>
      <c r="S163" s="7"/>
      <c r="T163" s="5"/>
      <c r="U163" s="6"/>
      <c r="V163" s="7"/>
      <c r="W163" s="5"/>
      <c r="X163" s="7"/>
      <c r="Y163" s="7"/>
      <c r="Z163" s="7"/>
      <c r="AA163" s="10"/>
      <c r="AB163" s="11"/>
      <c r="AC163" s="10"/>
      <c r="AD163" s="12"/>
      <c r="AE163" s="12"/>
      <c r="AF163" s="12"/>
      <c r="AG163" s="7"/>
      <c r="AH163" s="7"/>
      <c r="AI163" s="5" t="s">
        <v>564</v>
      </c>
    </row>
    <row r="164" customFormat="false" ht="15" hidden="false" customHeight="false" outlineLevel="0" collapsed="false">
      <c r="A164" s="5" t="s">
        <v>341</v>
      </c>
      <c r="B164" s="5" t="s">
        <v>565</v>
      </c>
      <c r="C164" s="5"/>
      <c r="D164" s="5" t="s">
        <v>341</v>
      </c>
      <c r="E164" s="5" t="s">
        <v>60</v>
      </c>
      <c r="F164" s="6" t="n">
        <v>16666.39</v>
      </c>
      <c r="G164" s="7" t="n">
        <v>438</v>
      </c>
      <c r="H164" s="8" t="n">
        <v>-0.2075</v>
      </c>
      <c r="I164" s="8" t="n">
        <v>-0.2526</v>
      </c>
      <c r="J164" s="7" t="n">
        <v>158</v>
      </c>
      <c r="K164" s="5" t="n">
        <v>27</v>
      </c>
      <c r="L164" s="5" t="n">
        <v>134</v>
      </c>
      <c r="M164" s="5" t="n">
        <v>4.7</v>
      </c>
      <c r="N164" s="9" t="s">
        <v>54</v>
      </c>
      <c r="O164" s="5"/>
      <c r="P164" s="5"/>
      <c r="Q164" s="5"/>
      <c r="R164" s="7"/>
      <c r="S164" s="7"/>
      <c r="T164" s="5"/>
      <c r="U164" s="6"/>
      <c r="V164" s="7"/>
      <c r="W164" s="5"/>
      <c r="X164" s="7"/>
      <c r="Y164" s="7"/>
      <c r="Z164" s="7"/>
      <c r="AA164" s="10"/>
      <c r="AB164" s="11"/>
      <c r="AC164" s="10"/>
      <c r="AD164" s="12"/>
      <c r="AE164" s="12"/>
      <c r="AF164" s="12"/>
      <c r="AG164" s="7"/>
      <c r="AH164" s="7"/>
      <c r="AI164" s="5" t="s">
        <v>566</v>
      </c>
    </row>
    <row r="165" customFormat="false" ht="15" hidden="false" customHeight="false" outlineLevel="0" collapsed="false">
      <c r="A165" s="5" t="s">
        <v>341</v>
      </c>
      <c r="B165" s="5" t="s">
        <v>567</v>
      </c>
      <c r="C165" s="5" t="s">
        <v>568</v>
      </c>
      <c r="D165" s="5" t="s">
        <v>341</v>
      </c>
      <c r="E165" s="5" t="s">
        <v>53</v>
      </c>
      <c r="F165" s="6" t="n">
        <v>16621.2</v>
      </c>
      <c r="G165" s="7" t="n">
        <v>3822</v>
      </c>
      <c r="H165" s="8" t="n">
        <v>-0.1243</v>
      </c>
      <c r="I165" s="8" t="n">
        <v>-0.2587</v>
      </c>
      <c r="J165" s="7" t="n">
        <v>305</v>
      </c>
      <c r="K165" s="5" t="n">
        <v>142</v>
      </c>
      <c r="L165" s="5" t="n">
        <v>303</v>
      </c>
      <c r="M165" s="5" t="n">
        <v>4.4</v>
      </c>
      <c r="N165" s="9" t="s">
        <v>54</v>
      </c>
      <c r="O165" s="5"/>
      <c r="P165" s="5"/>
      <c r="Q165" s="5"/>
      <c r="R165" s="7"/>
      <c r="S165" s="7"/>
      <c r="T165" s="5"/>
      <c r="U165" s="6"/>
      <c r="V165" s="7"/>
      <c r="W165" s="5"/>
      <c r="X165" s="7"/>
      <c r="Y165" s="7"/>
      <c r="Z165" s="7"/>
      <c r="AA165" s="10"/>
      <c r="AB165" s="11"/>
      <c r="AC165" s="10"/>
      <c r="AD165" s="12"/>
      <c r="AE165" s="12"/>
      <c r="AF165" s="12"/>
      <c r="AG165" s="7"/>
      <c r="AH165" s="7"/>
      <c r="AI165" s="5" t="s">
        <v>569</v>
      </c>
    </row>
    <row r="166" customFormat="false" ht="15" hidden="false" customHeight="false" outlineLevel="0" collapsed="false">
      <c r="A166" s="5" t="s">
        <v>341</v>
      </c>
      <c r="B166" s="5" t="s">
        <v>570</v>
      </c>
      <c r="C166" s="5" t="s">
        <v>571</v>
      </c>
      <c r="D166" s="5" t="s">
        <v>341</v>
      </c>
      <c r="E166" s="5" t="s">
        <v>53</v>
      </c>
      <c r="F166" s="6" t="n">
        <v>16567.88</v>
      </c>
      <c r="G166" s="7" t="n">
        <v>621</v>
      </c>
      <c r="H166" s="8" t="n">
        <v>0.7573</v>
      </c>
      <c r="I166" s="8" t="n">
        <v>0.6214</v>
      </c>
      <c r="J166" s="7" t="n">
        <v>254</v>
      </c>
      <c r="K166" s="5" t="n">
        <v>7</v>
      </c>
      <c r="L166" s="5" t="n">
        <v>17</v>
      </c>
      <c r="M166" s="5" t="n">
        <v>4.6</v>
      </c>
      <c r="N166" s="9" t="s">
        <v>54</v>
      </c>
      <c r="O166" s="5"/>
      <c r="P166" s="5"/>
      <c r="Q166" s="5"/>
      <c r="R166" s="7"/>
      <c r="S166" s="7"/>
      <c r="T166" s="5"/>
      <c r="U166" s="6"/>
      <c r="V166" s="7"/>
      <c r="W166" s="5"/>
      <c r="X166" s="7"/>
      <c r="Y166" s="7"/>
      <c r="Z166" s="7"/>
      <c r="AA166" s="10"/>
      <c r="AB166" s="11"/>
      <c r="AC166" s="10"/>
      <c r="AD166" s="12"/>
      <c r="AE166" s="12"/>
      <c r="AF166" s="12"/>
      <c r="AG166" s="7"/>
      <c r="AH166" s="7"/>
      <c r="AI166" s="5" t="s">
        <v>572</v>
      </c>
    </row>
    <row r="167" customFormat="false" ht="15" hidden="false" customHeight="false" outlineLevel="0" collapsed="false">
      <c r="A167" s="5" t="s">
        <v>341</v>
      </c>
      <c r="B167" s="5" t="s">
        <v>573</v>
      </c>
      <c r="C167" s="5"/>
      <c r="D167" s="5" t="s">
        <v>341</v>
      </c>
      <c r="E167" s="5" t="s">
        <v>60</v>
      </c>
      <c r="F167" s="6" t="n">
        <v>14984.14</v>
      </c>
      <c r="G167" s="7" t="n">
        <v>2002</v>
      </c>
      <c r="H167" s="8" t="n">
        <v>1.8426</v>
      </c>
      <c r="I167" s="8" t="n">
        <v>1.5151</v>
      </c>
      <c r="J167" s="7" t="n">
        <v>22</v>
      </c>
      <c r="K167" s="5" t="n">
        <v>17</v>
      </c>
      <c r="L167" s="5" t="n">
        <v>40</v>
      </c>
      <c r="M167" s="5" t="n">
        <v>4.3</v>
      </c>
      <c r="N167" s="9" t="s">
        <v>54</v>
      </c>
      <c r="O167" s="5"/>
      <c r="P167" s="5"/>
      <c r="Q167" s="5"/>
      <c r="R167" s="7"/>
      <c r="S167" s="7"/>
      <c r="T167" s="5"/>
      <c r="U167" s="6"/>
      <c r="V167" s="7"/>
      <c r="W167" s="5"/>
      <c r="X167" s="7"/>
      <c r="Y167" s="7"/>
      <c r="Z167" s="7"/>
      <c r="AA167" s="10"/>
      <c r="AB167" s="11"/>
      <c r="AC167" s="10"/>
      <c r="AD167" s="12"/>
      <c r="AE167" s="12"/>
      <c r="AF167" s="12"/>
      <c r="AG167" s="7"/>
      <c r="AH167" s="7"/>
      <c r="AI167" s="5" t="s">
        <v>574</v>
      </c>
    </row>
    <row r="168" customFormat="false" ht="15" hidden="false" customHeight="false" outlineLevel="0" collapsed="false">
      <c r="A168" s="5" t="s">
        <v>341</v>
      </c>
      <c r="B168" s="5" t="s">
        <v>575</v>
      </c>
      <c r="C168" s="5" t="s">
        <v>576</v>
      </c>
      <c r="D168" s="5" t="s">
        <v>341</v>
      </c>
      <c r="E168" s="5" t="s">
        <v>53</v>
      </c>
      <c r="F168" s="6" t="n">
        <v>14864.21</v>
      </c>
      <c r="G168" s="7" t="n">
        <v>1609</v>
      </c>
      <c r="H168" s="8" t="n">
        <v>0.2889</v>
      </c>
      <c r="I168" s="8" t="n">
        <v>0.1097</v>
      </c>
      <c r="J168" s="7" t="n">
        <v>136</v>
      </c>
      <c r="K168" s="5" t="n">
        <v>76</v>
      </c>
      <c r="L168" s="5" t="n">
        <v>1449</v>
      </c>
      <c r="M168" s="5" t="n">
        <v>4.6</v>
      </c>
      <c r="N168" s="9" t="s">
        <v>54</v>
      </c>
      <c r="O168" s="5"/>
      <c r="P168" s="5"/>
      <c r="Q168" s="5"/>
      <c r="R168" s="7"/>
      <c r="S168" s="7"/>
      <c r="T168" s="5"/>
      <c r="U168" s="6"/>
      <c r="V168" s="7"/>
      <c r="W168" s="5"/>
      <c r="X168" s="7"/>
      <c r="Y168" s="7"/>
      <c r="Z168" s="7"/>
      <c r="AA168" s="10"/>
      <c r="AB168" s="11"/>
      <c r="AC168" s="10"/>
      <c r="AD168" s="12"/>
      <c r="AE168" s="12"/>
      <c r="AF168" s="12"/>
      <c r="AG168" s="7"/>
      <c r="AH168" s="7"/>
      <c r="AI168" s="5" t="s">
        <v>577</v>
      </c>
    </row>
    <row r="169" customFormat="false" ht="15" hidden="false" customHeight="false" outlineLevel="0" collapsed="false">
      <c r="A169" s="5" t="s">
        <v>341</v>
      </c>
      <c r="B169" s="5" t="s">
        <v>578</v>
      </c>
      <c r="C169" s="5" t="s">
        <v>579</v>
      </c>
      <c r="D169" s="5" t="s">
        <v>341</v>
      </c>
      <c r="E169" s="5" t="s">
        <v>53</v>
      </c>
      <c r="F169" s="6" t="n">
        <v>14457.3</v>
      </c>
      <c r="G169" s="7" t="n">
        <v>812</v>
      </c>
      <c r="H169" s="8" t="n">
        <v>0.2997</v>
      </c>
      <c r="I169" s="8" t="n">
        <v>-0.2222</v>
      </c>
      <c r="J169" s="7" t="n">
        <v>193</v>
      </c>
      <c r="K169" s="5" t="n">
        <v>154</v>
      </c>
      <c r="L169" s="5" t="n">
        <v>2352</v>
      </c>
      <c r="M169" s="5" t="n">
        <v>4.3</v>
      </c>
      <c r="N169" s="9" t="s">
        <v>54</v>
      </c>
      <c r="O169" s="5"/>
      <c r="P169" s="5"/>
      <c r="Q169" s="5"/>
      <c r="R169" s="7"/>
      <c r="S169" s="7"/>
      <c r="T169" s="5"/>
      <c r="U169" s="6"/>
      <c r="V169" s="7"/>
      <c r="W169" s="5"/>
      <c r="X169" s="7"/>
      <c r="Y169" s="7"/>
      <c r="Z169" s="7"/>
      <c r="AA169" s="10"/>
      <c r="AB169" s="11"/>
      <c r="AC169" s="10"/>
      <c r="AD169" s="12"/>
      <c r="AE169" s="12"/>
      <c r="AF169" s="12"/>
      <c r="AG169" s="7"/>
      <c r="AH169" s="7"/>
      <c r="AI169" s="5" t="s">
        <v>580</v>
      </c>
    </row>
    <row r="170" customFormat="false" ht="15" hidden="false" customHeight="false" outlineLevel="0" collapsed="false">
      <c r="A170" s="5" t="s">
        <v>581</v>
      </c>
      <c r="B170" s="5" t="s">
        <v>582</v>
      </c>
      <c r="C170" s="5" t="s">
        <v>583</v>
      </c>
      <c r="D170" s="5" t="s">
        <v>581</v>
      </c>
      <c r="E170" s="5" t="s">
        <v>60</v>
      </c>
      <c r="F170" s="6" t="n">
        <v>19690.8</v>
      </c>
      <c r="G170" s="7" t="n">
        <v>987</v>
      </c>
      <c r="H170" s="8" t="n">
        <v>0.9527</v>
      </c>
      <c r="I170" s="8" t="n">
        <v>0.1358</v>
      </c>
      <c r="J170" s="7" t="n">
        <v>267</v>
      </c>
      <c r="K170" s="5" t="n">
        <v>27</v>
      </c>
      <c r="L170" s="5" t="n">
        <v>30</v>
      </c>
      <c r="M170" s="5" t="n">
        <v>4.4</v>
      </c>
      <c r="N170" s="9" t="s">
        <v>54</v>
      </c>
      <c r="O170" s="5"/>
      <c r="P170" s="5"/>
      <c r="Q170" s="5"/>
      <c r="R170" s="7"/>
      <c r="S170" s="7"/>
      <c r="T170" s="5"/>
      <c r="U170" s="6"/>
      <c r="V170" s="7"/>
      <c r="W170" s="5"/>
      <c r="X170" s="7"/>
      <c r="Y170" s="7"/>
      <c r="Z170" s="7"/>
      <c r="AA170" s="10"/>
      <c r="AB170" s="11"/>
      <c r="AC170" s="10"/>
      <c r="AD170" s="12"/>
      <c r="AE170" s="12"/>
      <c r="AF170" s="12"/>
      <c r="AG170" s="7"/>
      <c r="AH170" s="7"/>
      <c r="AI170" s="5" t="s">
        <v>584</v>
      </c>
    </row>
    <row r="171" customFormat="false" ht="15" hidden="false" customHeight="false" outlineLevel="0" collapsed="false">
      <c r="A171" s="5" t="s">
        <v>581</v>
      </c>
      <c r="B171" s="5" t="s">
        <v>585</v>
      </c>
      <c r="C171" s="5" t="s">
        <v>586</v>
      </c>
      <c r="D171" s="5" t="s">
        <v>581</v>
      </c>
      <c r="E171" s="5" t="s">
        <v>60</v>
      </c>
      <c r="F171" s="6" t="n">
        <v>18618.2</v>
      </c>
      <c r="G171" s="7" t="n">
        <v>1053</v>
      </c>
      <c r="H171" s="8" t="n">
        <v>-0.0853</v>
      </c>
      <c r="I171" s="8" t="n">
        <v>-0.0565</v>
      </c>
      <c r="J171" s="7" t="n">
        <v>123</v>
      </c>
      <c r="K171" s="5" t="n">
        <v>170</v>
      </c>
      <c r="L171" s="5" t="n">
        <v>571</v>
      </c>
      <c r="M171" s="5" t="n">
        <v>4.2</v>
      </c>
      <c r="N171" s="9" t="s">
        <v>54</v>
      </c>
      <c r="O171" s="5"/>
      <c r="P171" s="5"/>
      <c r="Q171" s="5"/>
      <c r="R171" s="7"/>
      <c r="S171" s="7"/>
      <c r="T171" s="5"/>
      <c r="U171" s="6"/>
      <c r="V171" s="7"/>
      <c r="W171" s="5"/>
      <c r="X171" s="7"/>
      <c r="Y171" s="7"/>
      <c r="Z171" s="7"/>
      <c r="AA171" s="10"/>
      <c r="AB171" s="11"/>
      <c r="AC171" s="10"/>
      <c r="AD171" s="12"/>
      <c r="AE171" s="12"/>
      <c r="AF171" s="12"/>
      <c r="AG171" s="7"/>
      <c r="AH171" s="7"/>
      <c r="AI171" s="5" t="s">
        <v>587</v>
      </c>
    </row>
    <row r="172" customFormat="false" ht="15" hidden="false" customHeight="false" outlineLevel="0" collapsed="false">
      <c r="A172" s="5" t="s">
        <v>581</v>
      </c>
      <c r="B172" s="5" t="s">
        <v>588</v>
      </c>
      <c r="C172" s="5" t="s">
        <v>588</v>
      </c>
      <c r="D172" s="5" t="s">
        <v>581</v>
      </c>
      <c r="E172" s="5" t="s">
        <v>60</v>
      </c>
      <c r="F172" s="6" t="n">
        <v>18609.88</v>
      </c>
      <c r="G172" s="7" t="n">
        <v>1764</v>
      </c>
      <c r="H172" s="8" t="n">
        <v>0.5455</v>
      </c>
      <c r="I172" s="8" t="n">
        <v>0.1179</v>
      </c>
      <c r="J172" s="7" t="n">
        <v>38</v>
      </c>
      <c r="K172" s="5" t="n">
        <v>31</v>
      </c>
      <c r="L172" s="5" t="n">
        <v>99</v>
      </c>
      <c r="M172" s="5" t="n">
        <v>3.4</v>
      </c>
      <c r="N172" s="9" t="s">
        <v>54</v>
      </c>
      <c r="O172" s="5"/>
      <c r="P172" s="5"/>
      <c r="Q172" s="5"/>
      <c r="R172" s="7"/>
      <c r="S172" s="7"/>
      <c r="T172" s="5"/>
      <c r="U172" s="6"/>
      <c r="V172" s="7"/>
      <c r="W172" s="5"/>
      <c r="X172" s="7"/>
      <c r="Y172" s="7"/>
      <c r="Z172" s="7"/>
      <c r="AA172" s="10"/>
      <c r="AB172" s="11"/>
      <c r="AC172" s="10"/>
      <c r="AD172" s="12"/>
      <c r="AE172" s="12"/>
      <c r="AF172" s="12"/>
      <c r="AG172" s="7"/>
      <c r="AH172" s="7"/>
      <c r="AI172" s="5" t="s">
        <v>589</v>
      </c>
    </row>
    <row r="173" customFormat="false" ht="15" hidden="false" customHeight="false" outlineLevel="0" collapsed="false">
      <c r="A173" s="5" t="s">
        <v>581</v>
      </c>
      <c r="B173" s="5" t="s">
        <v>590</v>
      </c>
      <c r="C173" s="5"/>
      <c r="D173" s="5" t="s">
        <v>581</v>
      </c>
      <c r="E173" s="5" t="s">
        <v>60</v>
      </c>
      <c r="F173" s="6" t="n">
        <v>18428.9</v>
      </c>
      <c r="G173" s="7" t="n">
        <v>646</v>
      </c>
      <c r="H173" s="8" t="n">
        <v>-0.347</v>
      </c>
      <c r="I173" s="8" t="n">
        <v>-0.3448</v>
      </c>
      <c r="J173" s="7" t="n">
        <v>469</v>
      </c>
      <c r="K173" s="5" t="n">
        <v>6</v>
      </c>
      <c r="L173" s="5" t="n">
        <v>6</v>
      </c>
      <c r="M173" s="5" t="n">
        <v>4.6</v>
      </c>
      <c r="N173" s="9" t="s">
        <v>54</v>
      </c>
      <c r="O173" s="5"/>
      <c r="P173" s="5" t="s">
        <v>591</v>
      </c>
      <c r="Q173" s="14" t="s">
        <v>592</v>
      </c>
      <c r="R173" s="7" t="n">
        <v>1117</v>
      </c>
      <c r="S173" s="7" t="n">
        <v>82</v>
      </c>
      <c r="T173" s="5" t="s">
        <v>593</v>
      </c>
      <c r="U173" s="6" t="n">
        <v>99720.45</v>
      </c>
      <c r="V173" s="7" t="n">
        <v>4191</v>
      </c>
      <c r="W173" s="5" t="n">
        <v>6</v>
      </c>
      <c r="X173" s="7" t="n">
        <v>1026</v>
      </c>
      <c r="Y173" s="7" t="n">
        <v>1948</v>
      </c>
      <c r="Z173" s="7" t="n">
        <v>121</v>
      </c>
      <c r="AA173" s="10" t="n">
        <v>9.49</v>
      </c>
      <c r="AB173" s="11" t="n">
        <v>64.94</v>
      </c>
      <c r="AC173" s="10"/>
      <c r="AD173" s="12"/>
      <c r="AE173" s="12"/>
      <c r="AF173" s="12"/>
      <c r="AG173" s="7" t="n">
        <v>94</v>
      </c>
      <c r="AH173" s="7" t="n">
        <v>2395</v>
      </c>
      <c r="AI173" s="5" t="s">
        <v>594</v>
      </c>
    </row>
    <row r="174" customFormat="false" ht="15" hidden="false" customHeight="false" outlineLevel="0" collapsed="false">
      <c r="A174" s="5" t="s">
        <v>581</v>
      </c>
      <c r="B174" s="5" t="s">
        <v>595</v>
      </c>
      <c r="C174" s="5" t="s">
        <v>595</v>
      </c>
      <c r="D174" s="5" t="s">
        <v>581</v>
      </c>
      <c r="E174" s="5" t="s">
        <v>60</v>
      </c>
      <c r="F174" s="6" t="n">
        <v>18357.25</v>
      </c>
      <c r="G174" s="7" t="n">
        <v>2361</v>
      </c>
      <c r="H174" s="8" t="n">
        <v>0.0944</v>
      </c>
      <c r="I174" s="8" t="n">
        <v>-0.1522</v>
      </c>
      <c r="J174" s="7" t="n">
        <v>2513</v>
      </c>
      <c r="K174" s="5" t="n">
        <v>95</v>
      </c>
      <c r="L174" s="5" t="n">
        <v>87</v>
      </c>
      <c r="M174" s="5" t="n">
        <v>4.3</v>
      </c>
      <c r="N174" s="9" t="s">
        <v>54</v>
      </c>
      <c r="O174" s="5"/>
      <c r="P174" s="5" t="s">
        <v>596</v>
      </c>
      <c r="Q174" s="14" t="s">
        <v>597</v>
      </c>
      <c r="R174" s="7" t="n">
        <v>71198</v>
      </c>
      <c r="S174" s="7" t="n">
        <v>711</v>
      </c>
      <c r="T174" s="5" t="s">
        <v>598</v>
      </c>
      <c r="U174" s="6" t="n">
        <v>553917.88</v>
      </c>
      <c r="V174" s="7" t="n">
        <v>123469</v>
      </c>
      <c r="W174" s="5" t="n">
        <v>162</v>
      </c>
      <c r="X174" s="7" t="n">
        <v>708</v>
      </c>
      <c r="Y174" s="7" t="n">
        <v>2801</v>
      </c>
      <c r="Z174" s="7" t="n">
        <v>1401</v>
      </c>
      <c r="AA174" s="10" t="n">
        <v>1</v>
      </c>
      <c r="AB174" s="11" t="n">
        <v>129.99</v>
      </c>
      <c r="AC174" s="10" t="n">
        <v>6.2</v>
      </c>
      <c r="AD174" s="12" t="n">
        <v>0.87</v>
      </c>
      <c r="AE174" s="12" t="n">
        <v>0.9</v>
      </c>
      <c r="AF174" s="12" t="n">
        <v>0.98</v>
      </c>
      <c r="AG174" s="7" t="n">
        <v>95</v>
      </c>
      <c r="AH174" s="7" t="n">
        <v>2398</v>
      </c>
      <c r="AI174" s="5" t="s">
        <v>599</v>
      </c>
    </row>
    <row r="175" customFormat="false" ht="15" hidden="false" customHeight="false" outlineLevel="0" collapsed="false">
      <c r="A175" s="5" t="s">
        <v>581</v>
      </c>
      <c r="B175" s="5" t="s">
        <v>600</v>
      </c>
      <c r="C175" s="5" t="s">
        <v>601</v>
      </c>
      <c r="D175" s="5" t="s">
        <v>581</v>
      </c>
      <c r="E175" s="5" t="s">
        <v>60</v>
      </c>
      <c r="F175" s="6" t="n">
        <v>18035.73</v>
      </c>
      <c r="G175" s="7" t="n">
        <v>1375</v>
      </c>
      <c r="H175" s="8" t="n">
        <v>0.8729</v>
      </c>
      <c r="I175" s="8" t="n">
        <v>0.3903</v>
      </c>
      <c r="J175" s="7" t="n">
        <v>75</v>
      </c>
      <c r="K175" s="5" t="n">
        <v>98</v>
      </c>
      <c r="L175" s="5" t="n">
        <v>139</v>
      </c>
      <c r="M175" s="5" t="n">
        <v>4.3</v>
      </c>
      <c r="N175" s="9" t="s">
        <v>54</v>
      </c>
      <c r="O175" s="5"/>
      <c r="P175" s="5"/>
      <c r="Q175" s="5"/>
      <c r="R175" s="7"/>
      <c r="S175" s="7"/>
      <c r="T175" s="5"/>
      <c r="U175" s="6"/>
      <c r="V175" s="7"/>
      <c r="W175" s="5"/>
      <c r="X175" s="7"/>
      <c r="Y175" s="7"/>
      <c r="Z175" s="7"/>
      <c r="AA175" s="10"/>
      <c r="AB175" s="11"/>
      <c r="AC175" s="10"/>
      <c r="AD175" s="12"/>
      <c r="AE175" s="12"/>
      <c r="AF175" s="12"/>
      <c r="AG175" s="7"/>
      <c r="AH175" s="7"/>
      <c r="AI175" s="5" t="s">
        <v>602</v>
      </c>
    </row>
    <row r="176" customFormat="false" ht="15" hidden="false" customHeight="false" outlineLevel="0" collapsed="false">
      <c r="A176" s="5" t="s">
        <v>581</v>
      </c>
      <c r="B176" s="5" t="s">
        <v>603</v>
      </c>
      <c r="C176" s="5" t="s">
        <v>604</v>
      </c>
      <c r="D176" s="5" t="s">
        <v>581</v>
      </c>
      <c r="E176" s="5" t="s">
        <v>60</v>
      </c>
      <c r="F176" s="6" t="n">
        <v>17929.26</v>
      </c>
      <c r="G176" s="7" t="n">
        <v>6911</v>
      </c>
      <c r="H176" s="8" t="n">
        <v>0.0974</v>
      </c>
      <c r="I176" s="8" t="n">
        <v>0.1916</v>
      </c>
      <c r="J176" s="7" t="n">
        <v>54</v>
      </c>
      <c r="K176" s="5" t="n">
        <v>578</v>
      </c>
      <c r="L176" s="5" t="n">
        <v>890</v>
      </c>
      <c r="M176" s="5" t="n">
        <v>3.6</v>
      </c>
      <c r="N176" s="9" t="s">
        <v>54</v>
      </c>
      <c r="O176" s="5"/>
      <c r="P176" s="5"/>
      <c r="Q176" s="5"/>
      <c r="R176" s="7"/>
      <c r="S176" s="7"/>
      <c r="T176" s="5"/>
      <c r="U176" s="6"/>
      <c r="V176" s="7"/>
      <c r="W176" s="5"/>
      <c r="X176" s="7"/>
      <c r="Y176" s="7"/>
      <c r="Z176" s="7"/>
      <c r="AA176" s="10"/>
      <c r="AB176" s="11"/>
      <c r="AC176" s="10"/>
      <c r="AD176" s="12"/>
      <c r="AE176" s="12"/>
      <c r="AF176" s="12"/>
      <c r="AG176" s="7"/>
      <c r="AH176" s="7"/>
      <c r="AI176" s="5" t="s">
        <v>605</v>
      </c>
    </row>
    <row r="177" customFormat="false" ht="15" hidden="false" customHeight="false" outlineLevel="0" collapsed="false">
      <c r="A177" s="5" t="s">
        <v>581</v>
      </c>
      <c r="B177" s="5" t="s">
        <v>606</v>
      </c>
      <c r="C177" s="5" t="s">
        <v>607</v>
      </c>
      <c r="D177" s="5" t="s">
        <v>581</v>
      </c>
      <c r="E177" s="5" t="s">
        <v>60</v>
      </c>
      <c r="F177" s="6" t="n">
        <v>17905.25</v>
      </c>
      <c r="G177" s="7" t="n">
        <v>575</v>
      </c>
      <c r="H177" s="8" t="n">
        <v>0.1574</v>
      </c>
      <c r="I177" s="8" t="n">
        <v>0.0628</v>
      </c>
      <c r="J177" s="7" t="n">
        <v>196</v>
      </c>
      <c r="K177" s="5" t="n">
        <v>9</v>
      </c>
      <c r="L177" s="5" t="n">
        <v>27</v>
      </c>
      <c r="M177" s="5" t="n">
        <v>4.5</v>
      </c>
      <c r="N177" s="9" t="s">
        <v>54</v>
      </c>
      <c r="O177" s="5"/>
      <c r="P177" s="5"/>
      <c r="Q177" s="5"/>
      <c r="R177" s="7"/>
      <c r="S177" s="7"/>
      <c r="T177" s="5"/>
      <c r="U177" s="6"/>
      <c r="V177" s="7"/>
      <c r="W177" s="5"/>
      <c r="X177" s="7"/>
      <c r="Y177" s="7"/>
      <c r="Z177" s="7"/>
      <c r="AA177" s="10"/>
      <c r="AB177" s="11"/>
      <c r="AC177" s="10"/>
      <c r="AD177" s="12"/>
      <c r="AE177" s="12"/>
      <c r="AF177" s="12"/>
      <c r="AG177" s="7"/>
      <c r="AH177" s="7"/>
      <c r="AI177" s="5" t="s">
        <v>608</v>
      </c>
    </row>
    <row r="178" customFormat="false" ht="15" hidden="false" customHeight="false" outlineLevel="0" collapsed="false">
      <c r="A178" s="5" t="s">
        <v>581</v>
      </c>
      <c r="B178" s="5" t="s">
        <v>609</v>
      </c>
      <c r="C178" s="5" t="s">
        <v>610</v>
      </c>
      <c r="D178" s="5" t="s">
        <v>581</v>
      </c>
      <c r="E178" s="5" t="s">
        <v>60</v>
      </c>
      <c r="F178" s="6" t="n">
        <v>17851.02</v>
      </c>
      <c r="G178" s="7" t="n">
        <v>817</v>
      </c>
      <c r="H178" s="8" t="n">
        <v>7.3345</v>
      </c>
      <c r="I178" s="8" t="n">
        <v>5.2846</v>
      </c>
      <c r="J178" s="7" t="n">
        <v>1872</v>
      </c>
      <c r="K178" s="5" t="n">
        <v>40</v>
      </c>
      <c r="L178" s="5" t="n">
        <v>110</v>
      </c>
      <c r="M178" s="5" t="n">
        <v>3.6</v>
      </c>
      <c r="N178" s="9" t="s">
        <v>54</v>
      </c>
      <c r="O178" s="5"/>
      <c r="P178" s="5" t="s">
        <v>611</v>
      </c>
      <c r="Q178" s="14" t="s">
        <v>612</v>
      </c>
      <c r="R178" s="7" t="n">
        <v>16804</v>
      </c>
      <c r="S178" s="7" t="n">
        <v>206</v>
      </c>
      <c r="T178" s="5" t="s">
        <v>613</v>
      </c>
      <c r="U178" s="6" t="n">
        <v>71261.34</v>
      </c>
      <c r="V178" s="7" t="n">
        <v>4038</v>
      </c>
      <c r="W178" s="5" t="n">
        <v>152</v>
      </c>
      <c r="X178" s="7" t="n">
        <v>19</v>
      </c>
      <c r="Y178" s="7" t="n">
        <v>92</v>
      </c>
      <c r="Z178" s="7" t="n">
        <v>179</v>
      </c>
      <c r="AA178" s="10" t="n">
        <v>1.4</v>
      </c>
      <c r="AB178" s="11" t="n">
        <v>99.99</v>
      </c>
      <c r="AC178" s="10" t="n">
        <v>19.62</v>
      </c>
      <c r="AD178" s="12" t="n">
        <v>0.78</v>
      </c>
      <c r="AE178" s="12" t="n">
        <v>0.79</v>
      </c>
      <c r="AF178" s="12" t="n">
        <v>0.97</v>
      </c>
      <c r="AG178" s="7" t="n">
        <v>92</v>
      </c>
      <c r="AH178" s="7" t="n">
        <v>2321</v>
      </c>
      <c r="AI178" s="5" t="s">
        <v>614</v>
      </c>
    </row>
    <row r="179" customFormat="false" ht="15" hidden="false" customHeight="false" outlineLevel="0" collapsed="false">
      <c r="A179" s="5" t="s">
        <v>581</v>
      </c>
      <c r="B179" s="5" t="s">
        <v>615</v>
      </c>
      <c r="C179" s="5"/>
      <c r="D179" s="5" t="s">
        <v>581</v>
      </c>
      <c r="E179" s="5" t="s">
        <v>60</v>
      </c>
      <c r="F179" s="6" t="n">
        <v>17716.69</v>
      </c>
      <c r="G179" s="7" t="n">
        <v>657</v>
      </c>
      <c r="H179" s="8" t="n">
        <v>2.3478</v>
      </c>
      <c r="I179" s="8" t="n">
        <v>1.3548</v>
      </c>
      <c r="J179" s="7" t="n">
        <v>199</v>
      </c>
      <c r="K179" s="5" t="n">
        <v>14</v>
      </c>
      <c r="L179" s="5" t="n">
        <v>429</v>
      </c>
      <c r="M179" s="5" t="n">
        <v>4.4</v>
      </c>
      <c r="N179" s="9" t="s">
        <v>54</v>
      </c>
      <c r="O179" s="5"/>
      <c r="P179" s="5"/>
      <c r="Q179" s="5"/>
      <c r="R179" s="7"/>
      <c r="S179" s="7"/>
      <c r="T179" s="5"/>
      <c r="U179" s="6"/>
      <c r="V179" s="7"/>
      <c r="W179" s="5"/>
      <c r="X179" s="7"/>
      <c r="Y179" s="7"/>
      <c r="Z179" s="7"/>
      <c r="AA179" s="10"/>
      <c r="AB179" s="11"/>
      <c r="AC179" s="10"/>
      <c r="AD179" s="12"/>
      <c r="AE179" s="12"/>
      <c r="AF179" s="12"/>
      <c r="AG179" s="7"/>
      <c r="AH179" s="7"/>
      <c r="AI179" s="5" t="s">
        <v>616</v>
      </c>
    </row>
    <row r="180" customFormat="false" ht="15" hidden="false" customHeight="false" outlineLevel="0" collapsed="false">
      <c r="A180" s="5" t="s">
        <v>581</v>
      </c>
      <c r="B180" s="5" t="s">
        <v>617</v>
      </c>
      <c r="C180" s="5" t="s">
        <v>617</v>
      </c>
      <c r="D180" s="5" t="s">
        <v>581</v>
      </c>
      <c r="E180" s="5" t="s">
        <v>60</v>
      </c>
      <c r="F180" s="6" t="n">
        <v>17668.91</v>
      </c>
      <c r="G180" s="7" t="n">
        <v>728</v>
      </c>
      <c r="H180" s="8" t="n">
        <v>-0.0462</v>
      </c>
      <c r="I180" s="8" t="n">
        <v>-0.2329</v>
      </c>
      <c r="J180" s="7" t="n">
        <v>64</v>
      </c>
      <c r="K180" s="5" t="n">
        <v>66</v>
      </c>
      <c r="L180" s="5" t="n">
        <v>316</v>
      </c>
      <c r="M180" s="5" t="n">
        <v>3.7</v>
      </c>
      <c r="N180" s="9" t="s">
        <v>54</v>
      </c>
      <c r="O180" s="5"/>
      <c r="P180" s="5"/>
      <c r="Q180" s="5"/>
      <c r="R180" s="7"/>
      <c r="S180" s="7"/>
      <c r="T180" s="5"/>
      <c r="U180" s="6"/>
      <c r="V180" s="7"/>
      <c r="W180" s="5"/>
      <c r="X180" s="7"/>
      <c r="Y180" s="7"/>
      <c r="Z180" s="7"/>
      <c r="AA180" s="10"/>
      <c r="AB180" s="11"/>
      <c r="AC180" s="10"/>
      <c r="AD180" s="12"/>
      <c r="AE180" s="12"/>
      <c r="AF180" s="12"/>
      <c r="AG180" s="7"/>
      <c r="AH180" s="7"/>
      <c r="AI180" s="5" t="s">
        <v>618</v>
      </c>
    </row>
    <row r="181" customFormat="false" ht="15" hidden="false" customHeight="false" outlineLevel="0" collapsed="false">
      <c r="A181" s="5" t="s">
        <v>581</v>
      </c>
      <c r="B181" s="5" t="s">
        <v>619</v>
      </c>
      <c r="C181" s="5" t="s">
        <v>620</v>
      </c>
      <c r="D181" s="5" t="s">
        <v>581</v>
      </c>
      <c r="E181" s="5" t="s">
        <v>60</v>
      </c>
      <c r="F181" s="6" t="n">
        <v>17447.89</v>
      </c>
      <c r="G181" s="7" t="n">
        <v>932</v>
      </c>
      <c r="H181" s="8" t="n">
        <v>0.2745</v>
      </c>
      <c r="I181" s="8" t="n">
        <v>0.2595</v>
      </c>
      <c r="J181" s="7" t="n">
        <v>63</v>
      </c>
      <c r="K181" s="5" t="n">
        <v>149</v>
      </c>
      <c r="L181" s="5" t="n">
        <v>372</v>
      </c>
      <c r="M181" s="5" t="n">
        <v>4.6</v>
      </c>
      <c r="N181" s="9" t="s">
        <v>54</v>
      </c>
      <c r="O181" s="5"/>
      <c r="P181" s="5"/>
      <c r="Q181" s="5"/>
      <c r="R181" s="7"/>
      <c r="S181" s="7"/>
      <c r="T181" s="5"/>
      <c r="U181" s="6"/>
      <c r="V181" s="7"/>
      <c r="W181" s="5"/>
      <c r="X181" s="7"/>
      <c r="Y181" s="7"/>
      <c r="Z181" s="7"/>
      <c r="AA181" s="10"/>
      <c r="AB181" s="11"/>
      <c r="AC181" s="10"/>
      <c r="AD181" s="12"/>
      <c r="AE181" s="12"/>
      <c r="AF181" s="12"/>
      <c r="AG181" s="7"/>
      <c r="AH181" s="7"/>
      <c r="AI181" s="5" t="s">
        <v>621</v>
      </c>
    </row>
    <row r="182" customFormat="false" ht="15" hidden="false" customHeight="false" outlineLevel="0" collapsed="false">
      <c r="A182" s="5" t="s">
        <v>581</v>
      </c>
      <c r="B182" s="5" t="s">
        <v>622</v>
      </c>
      <c r="C182" s="5" t="s">
        <v>622</v>
      </c>
      <c r="D182" s="5" t="s">
        <v>581</v>
      </c>
      <c r="E182" s="5" t="s">
        <v>60</v>
      </c>
      <c r="F182" s="6" t="n">
        <v>16861.81</v>
      </c>
      <c r="G182" s="7" t="n">
        <v>2102</v>
      </c>
      <c r="H182" s="8" t="n">
        <v>0.1125</v>
      </c>
      <c r="I182" s="8" t="n">
        <v>-0.1089</v>
      </c>
      <c r="J182" s="7" t="n">
        <v>51</v>
      </c>
      <c r="K182" s="5" t="n">
        <v>155</v>
      </c>
      <c r="L182" s="5" t="n">
        <v>641</v>
      </c>
      <c r="M182" s="5" t="n">
        <v>4.5</v>
      </c>
      <c r="N182" s="9" t="s">
        <v>54</v>
      </c>
      <c r="O182" s="5"/>
      <c r="P182" s="5"/>
      <c r="Q182" s="5"/>
      <c r="R182" s="7"/>
      <c r="S182" s="7"/>
      <c r="T182" s="5"/>
      <c r="U182" s="6"/>
      <c r="V182" s="7"/>
      <c r="W182" s="5"/>
      <c r="X182" s="7"/>
      <c r="Y182" s="7"/>
      <c r="Z182" s="7"/>
      <c r="AA182" s="10"/>
      <c r="AB182" s="11"/>
      <c r="AC182" s="10"/>
      <c r="AD182" s="12"/>
      <c r="AE182" s="12"/>
      <c r="AF182" s="12"/>
      <c r="AG182" s="7"/>
      <c r="AH182" s="7"/>
      <c r="AI182" s="5" t="s">
        <v>623</v>
      </c>
    </row>
    <row r="183" customFormat="false" ht="15" hidden="false" customHeight="false" outlineLevel="0" collapsed="false">
      <c r="A183" s="5" t="s">
        <v>581</v>
      </c>
      <c r="B183" s="5" t="s">
        <v>624</v>
      </c>
      <c r="C183" s="5" t="s">
        <v>624</v>
      </c>
      <c r="D183" s="5" t="s">
        <v>581</v>
      </c>
      <c r="E183" s="5" t="s">
        <v>60</v>
      </c>
      <c r="F183" s="6" t="n">
        <v>16658.8</v>
      </c>
      <c r="G183" s="7" t="n">
        <v>2766</v>
      </c>
      <c r="H183" s="8" t="n">
        <v>-0.1712</v>
      </c>
      <c r="I183" s="8" t="n">
        <v>-0.2502</v>
      </c>
      <c r="J183" s="7" t="n">
        <v>241</v>
      </c>
      <c r="K183" s="5" t="n">
        <v>11</v>
      </c>
      <c r="L183" s="5" t="n">
        <v>15</v>
      </c>
      <c r="M183" s="5" t="n">
        <v>4.3</v>
      </c>
      <c r="N183" s="9" t="s">
        <v>54</v>
      </c>
      <c r="O183" s="5"/>
      <c r="P183" s="5"/>
      <c r="Q183" s="5"/>
      <c r="R183" s="7"/>
      <c r="S183" s="7"/>
      <c r="T183" s="5"/>
      <c r="U183" s="6"/>
      <c r="V183" s="7"/>
      <c r="W183" s="5"/>
      <c r="X183" s="7"/>
      <c r="Y183" s="7"/>
      <c r="Z183" s="7"/>
      <c r="AA183" s="10"/>
      <c r="AB183" s="11"/>
      <c r="AC183" s="10"/>
      <c r="AD183" s="12"/>
      <c r="AE183" s="12"/>
      <c r="AF183" s="12"/>
      <c r="AG183" s="7"/>
      <c r="AH183" s="7"/>
      <c r="AI183" s="5" t="s">
        <v>625</v>
      </c>
    </row>
    <row r="184" customFormat="false" ht="15" hidden="false" customHeight="false" outlineLevel="0" collapsed="false">
      <c r="A184" s="5" t="s">
        <v>581</v>
      </c>
      <c r="B184" s="5" t="s">
        <v>626</v>
      </c>
      <c r="C184" s="5" t="s">
        <v>627</v>
      </c>
      <c r="D184" s="5" t="s">
        <v>581</v>
      </c>
      <c r="E184" s="5" t="s">
        <v>60</v>
      </c>
      <c r="F184" s="6" t="n">
        <v>16612.97</v>
      </c>
      <c r="G184" s="7" t="n">
        <v>869</v>
      </c>
      <c r="H184" s="8" t="n">
        <v>0.2398</v>
      </c>
      <c r="I184" s="8" t="n">
        <v>0.0702</v>
      </c>
      <c r="J184" s="7" t="n">
        <v>66</v>
      </c>
      <c r="K184" s="5" t="n">
        <v>4</v>
      </c>
      <c r="L184" s="5" t="n">
        <v>4</v>
      </c>
      <c r="M184" s="5" t="n">
        <v>4.5</v>
      </c>
      <c r="N184" s="9" t="s">
        <v>54</v>
      </c>
      <c r="O184" s="5"/>
      <c r="P184" s="5"/>
      <c r="Q184" s="5"/>
      <c r="R184" s="7"/>
      <c r="S184" s="7"/>
      <c r="T184" s="5"/>
      <c r="U184" s="6"/>
      <c r="V184" s="7"/>
      <c r="W184" s="5"/>
      <c r="X184" s="7"/>
      <c r="Y184" s="7"/>
      <c r="Z184" s="7"/>
      <c r="AA184" s="10"/>
      <c r="AB184" s="11"/>
      <c r="AC184" s="10"/>
      <c r="AD184" s="12"/>
      <c r="AE184" s="12"/>
      <c r="AF184" s="12"/>
      <c r="AG184" s="7"/>
      <c r="AH184" s="7"/>
      <c r="AI184" s="5" t="s">
        <v>628</v>
      </c>
    </row>
    <row r="185" customFormat="false" ht="15" hidden="false" customHeight="false" outlineLevel="0" collapsed="false">
      <c r="A185" s="5" t="s">
        <v>581</v>
      </c>
      <c r="B185" s="5" t="s">
        <v>629</v>
      </c>
      <c r="C185" s="5"/>
      <c r="D185" s="5" t="s">
        <v>581</v>
      </c>
      <c r="E185" s="5" t="s">
        <v>60</v>
      </c>
      <c r="F185" s="6" t="n">
        <v>16552.29</v>
      </c>
      <c r="G185" s="7" t="n">
        <v>1487</v>
      </c>
      <c r="H185" s="8" t="n">
        <v>0.1645</v>
      </c>
      <c r="I185" s="8" t="n">
        <v>0.2119</v>
      </c>
      <c r="J185" s="7" t="n">
        <v>234</v>
      </c>
      <c r="K185" s="5" t="n">
        <v>32</v>
      </c>
      <c r="L185" s="5" t="n">
        <v>68</v>
      </c>
      <c r="M185" s="5" t="n">
        <v>2.6</v>
      </c>
      <c r="N185" s="9" t="s">
        <v>54</v>
      </c>
      <c r="O185" s="5"/>
      <c r="P185" s="5"/>
      <c r="Q185" s="5"/>
      <c r="R185" s="7"/>
      <c r="S185" s="7"/>
      <c r="T185" s="5"/>
      <c r="U185" s="6"/>
      <c r="V185" s="7"/>
      <c r="W185" s="5"/>
      <c r="X185" s="7"/>
      <c r="Y185" s="7"/>
      <c r="Z185" s="7"/>
      <c r="AA185" s="10"/>
      <c r="AB185" s="11"/>
      <c r="AC185" s="10"/>
      <c r="AD185" s="12"/>
      <c r="AE185" s="12"/>
      <c r="AF185" s="12"/>
      <c r="AG185" s="7"/>
      <c r="AH185" s="7"/>
      <c r="AI185" s="5" t="s">
        <v>630</v>
      </c>
    </row>
    <row r="186" customFormat="false" ht="15" hidden="false" customHeight="false" outlineLevel="0" collapsed="false">
      <c r="A186" s="5" t="s">
        <v>581</v>
      </c>
      <c r="B186" s="5" t="s">
        <v>631</v>
      </c>
      <c r="C186" s="5"/>
      <c r="D186" s="5" t="s">
        <v>581</v>
      </c>
      <c r="E186" s="5" t="s">
        <v>60</v>
      </c>
      <c r="F186" s="6" t="n">
        <v>16548.83</v>
      </c>
      <c r="G186" s="7" t="n">
        <v>2941</v>
      </c>
      <c r="H186" s="8" t="n">
        <v>0.1196</v>
      </c>
      <c r="I186" s="8" t="n">
        <v>0.0675</v>
      </c>
      <c r="J186" s="7" t="n">
        <v>45</v>
      </c>
      <c r="K186" s="5" t="n">
        <v>6</v>
      </c>
      <c r="L186" s="5" t="n">
        <v>6</v>
      </c>
      <c r="M186" s="5" t="n">
        <v>4.4</v>
      </c>
      <c r="N186" s="9" t="s">
        <v>54</v>
      </c>
      <c r="O186" s="5"/>
      <c r="P186" s="5"/>
      <c r="Q186" s="5"/>
      <c r="R186" s="7"/>
      <c r="S186" s="7"/>
      <c r="T186" s="5"/>
      <c r="U186" s="6"/>
      <c r="V186" s="7"/>
      <c r="W186" s="5"/>
      <c r="X186" s="7"/>
      <c r="Y186" s="7"/>
      <c r="Z186" s="7"/>
      <c r="AA186" s="10"/>
      <c r="AB186" s="11"/>
      <c r="AC186" s="10"/>
      <c r="AD186" s="12"/>
      <c r="AE186" s="12"/>
      <c r="AF186" s="12"/>
      <c r="AG186" s="7"/>
      <c r="AH186" s="7"/>
      <c r="AI186" s="5" t="s">
        <v>632</v>
      </c>
    </row>
    <row r="187" customFormat="false" ht="15" hidden="false" customHeight="false" outlineLevel="0" collapsed="false">
      <c r="A187" s="5" t="s">
        <v>581</v>
      </c>
      <c r="B187" s="5" t="s">
        <v>633</v>
      </c>
      <c r="C187" s="5"/>
      <c r="D187" s="5" t="s">
        <v>581</v>
      </c>
      <c r="E187" s="5" t="s">
        <v>60</v>
      </c>
      <c r="F187" s="6" t="n">
        <v>16447.98</v>
      </c>
      <c r="G187" s="7" t="n">
        <v>745</v>
      </c>
      <c r="H187" s="8" t="n">
        <v>0.7515</v>
      </c>
      <c r="I187" s="8" t="n">
        <v>0.3496</v>
      </c>
      <c r="J187" s="7" t="n">
        <v>104</v>
      </c>
      <c r="K187" s="5" t="n">
        <v>72</v>
      </c>
      <c r="L187" s="5" t="n">
        <v>307</v>
      </c>
      <c r="M187" s="5" t="n">
        <v>2.4</v>
      </c>
      <c r="N187" s="9" t="s">
        <v>54</v>
      </c>
      <c r="O187" s="5"/>
      <c r="P187" s="5"/>
      <c r="Q187" s="5"/>
      <c r="R187" s="7"/>
      <c r="S187" s="7"/>
      <c r="T187" s="5"/>
      <c r="U187" s="6"/>
      <c r="V187" s="7"/>
      <c r="W187" s="5"/>
      <c r="X187" s="7"/>
      <c r="Y187" s="7"/>
      <c r="Z187" s="7"/>
      <c r="AA187" s="10"/>
      <c r="AB187" s="11"/>
      <c r="AC187" s="10"/>
      <c r="AD187" s="12"/>
      <c r="AE187" s="12"/>
      <c r="AF187" s="12"/>
      <c r="AG187" s="7"/>
      <c r="AH187" s="7"/>
      <c r="AI187" s="5" t="s">
        <v>634</v>
      </c>
    </row>
    <row r="188" customFormat="false" ht="15" hidden="false" customHeight="false" outlineLevel="0" collapsed="false">
      <c r="A188" s="5" t="s">
        <v>581</v>
      </c>
      <c r="B188" s="5" t="s">
        <v>635</v>
      </c>
      <c r="C188" s="5" t="s">
        <v>635</v>
      </c>
      <c r="D188" s="5" t="s">
        <v>581</v>
      </c>
      <c r="E188" s="5" t="s">
        <v>60</v>
      </c>
      <c r="F188" s="6" t="n">
        <v>16027.33</v>
      </c>
      <c r="G188" s="7" t="n">
        <v>2462</v>
      </c>
      <c r="H188" s="8" t="n">
        <v>-0.5541</v>
      </c>
      <c r="I188" s="8" t="n">
        <v>-0.5624</v>
      </c>
      <c r="J188" s="7" t="n">
        <v>243</v>
      </c>
      <c r="K188" s="5" t="n">
        <v>133</v>
      </c>
      <c r="L188" s="5" t="n">
        <v>178</v>
      </c>
      <c r="M188" s="5" t="n">
        <v>3.4</v>
      </c>
      <c r="N188" s="9" t="s">
        <v>54</v>
      </c>
      <c r="O188" s="5"/>
      <c r="P188" s="5"/>
      <c r="Q188" s="5"/>
      <c r="R188" s="7"/>
      <c r="S188" s="7"/>
      <c r="T188" s="5"/>
      <c r="U188" s="6"/>
      <c r="V188" s="7"/>
      <c r="W188" s="5"/>
      <c r="X188" s="7"/>
      <c r="Y188" s="7"/>
      <c r="Z188" s="7"/>
      <c r="AA188" s="10"/>
      <c r="AB188" s="11"/>
      <c r="AC188" s="10"/>
      <c r="AD188" s="12"/>
      <c r="AE188" s="12"/>
      <c r="AF188" s="12"/>
      <c r="AG188" s="7"/>
      <c r="AH188" s="7"/>
      <c r="AI188" s="5" t="s">
        <v>636</v>
      </c>
    </row>
    <row r="189" customFormat="false" ht="15" hidden="false" customHeight="false" outlineLevel="0" collapsed="false">
      <c r="A189" s="5" t="s">
        <v>581</v>
      </c>
      <c r="B189" s="5" t="s">
        <v>637</v>
      </c>
      <c r="C189" s="5" t="s">
        <v>638</v>
      </c>
      <c r="D189" s="5" t="s">
        <v>581</v>
      </c>
      <c r="E189" s="5" t="s">
        <v>60</v>
      </c>
      <c r="F189" s="6" t="n">
        <v>16014.07</v>
      </c>
      <c r="G189" s="7" t="n">
        <v>5539</v>
      </c>
      <c r="H189" s="8" t="n">
        <v>0.0337</v>
      </c>
      <c r="I189" s="8" t="n">
        <v>-0.039</v>
      </c>
      <c r="J189" s="7" t="n">
        <v>100</v>
      </c>
      <c r="K189" s="5" t="n">
        <v>127</v>
      </c>
      <c r="L189" s="5" t="n">
        <v>1524</v>
      </c>
      <c r="M189" s="5" t="n">
        <v>4</v>
      </c>
      <c r="N189" s="9" t="s">
        <v>54</v>
      </c>
      <c r="O189" s="5"/>
      <c r="P189" s="5"/>
      <c r="Q189" s="5"/>
      <c r="R189" s="7"/>
      <c r="S189" s="7"/>
      <c r="T189" s="5"/>
      <c r="U189" s="6"/>
      <c r="V189" s="7"/>
      <c r="W189" s="5"/>
      <c r="X189" s="7"/>
      <c r="Y189" s="7"/>
      <c r="Z189" s="7"/>
      <c r="AA189" s="10"/>
      <c r="AB189" s="11"/>
      <c r="AC189" s="10"/>
      <c r="AD189" s="12"/>
      <c r="AE189" s="12"/>
      <c r="AF189" s="12"/>
      <c r="AG189" s="7"/>
      <c r="AH189" s="7"/>
      <c r="AI189" s="5" t="s">
        <v>639</v>
      </c>
    </row>
    <row r="190" customFormat="false" ht="15" hidden="false" customHeight="false" outlineLevel="0" collapsed="false">
      <c r="A190" s="5" t="s">
        <v>581</v>
      </c>
      <c r="B190" s="5" t="s">
        <v>640</v>
      </c>
      <c r="C190" s="5" t="s">
        <v>641</v>
      </c>
      <c r="D190" s="5" t="s">
        <v>581</v>
      </c>
      <c r="E190" s="5" t="s">
        <v>60</v>
      </c>
      <c r="F190" s="6" t="n">
        <v>15898.98</v>
      </c>
      <c r="G190" s="7" t="n">
        <v>900</v>
      </c>
      <c r="H190" s="8" t="n">
        <v>0.1683</v>
      </c>
      <c r="I190" s="8" t="n">
        <v>0.2766</v>
      </c>
      <c r="J190" s="7" t="n">
        <v>140</v>
      </c>
      <c r="K190" s="5" t="n">
        <v>45</v>
      </c>
      <c r="L190" s="5" t="n">
        <v>79</v>
      </c>
      <c r="M190" s="5" t="n">
        <v>3.1</v>
      </c>
      <c r="N190" s="9" t="s">
        <v>54</v>
      </c>
      <c r="O190" s="5"/>
      <c r="P190" s="5"/>
      <c r="Q190" s="5"/>
      <c r="R190" s="7"/>
      <c r="S190" s="7"/>
      <c r="T190" s="5"/>
      <c r="U190" s="6"/>
      <c r="V190" s="7"/>
      <c r="W190" s="5"/>
      <c r="X190" s="7"/>
      <c r="Y190" s="7"/>
      <c r="Z190" s="7"/>
      <c r="AA190" s="10"/>
      <c r="AB190" s="11"/>
      <c r="AC190" s="10"/>
      <c r="AD190" s="12"/>
      <c r="AE190" s="12"/>
      <c r="AF190" s="12"/>
      <c r="AG190" s="7"/>
      <c r="AH190" s="7"/>
      <c r="AI190" s="5" t="s">
        <v>642</v>
      </c>
    </row>
    <row r="191" customFormat="false" ht="15" hidden="false" customHeight="false" outlineLevel="0" collapsed="false">
      <c r="A191" s="5" t="s">
        <v>581</v>
      </c>
      <c r="B191" s="5" t="s">
        <v>643</v>
      </c>
      <c r="C191" s="5"/>
      <c r="D191" s="5" t="s">
        <v>581</v>
      </c>
      <c r="E191" s="5" t="s">
        <v>60</v>
      </c>
      <c r="F191" s="6" t="n">
        <v>15799.44</v>
      </c>
      <c r="G191" s="7" t="n">
        <v>3154</v>
      </c>
      <c r="H191" s="8" t="n">
        <v>-0.1053</v>
      </c>
      <c r="I191" s="8" t="n">
        <v>-0.2863</v>
      </c>
      <c r="J191" s="7" t="n">
        <v>94</v>
      </c>
      <c r="K191" s="5" t="n">
        <v>89</v>
      </c>
      <c r="L191" s="5" t="n">
        <v>202</v>
      </c>
      <c r="M191" s="5" t="n">
        <v>4.6</v>
      </c>
      <c r="N191" s="9" t="s">
        <v>54</v>
      </c>
      <c r="O191" s="5"/>
      <c r="P191" s="5"/>
      <c r="Q191" s="5"/>
      <c r="R191" s="7"/>
      <c r="S191" s="7"/>
      <c r="T191" s="5"/>
      <c r="U191" s="6"/>
      <c r="V191" s="7"/>
      <c r="W191" s="5"/>
      <c r="X191" s="7"/>
      <c r="Y191" s="7"/>
      <c r="Z191" s="7"/>
      <c r="AA191" s="10"/>
      <c r="AB191" s="11"/>
      <c r="AC191" s="10"/>
      <c r="AD191" s="12"/>
      <c r="AE191" s="12"/>
      <c r="AF191" s="12"/>
      <c r="AG191" s="7"/>
      <c r="AH191" s="7"/>
      <c r="AI191" s="5" t="s">
        <v>644</v>
      </c>
    </row>
    <row r="192" customFormat="false" ht="15" hidden="false" customHeight="false" outlineLevel="0" collapsed="false">
      <c r="A192" s="5" t="s">
        <v>581</v>
      </c>
      <c r="B192" s="5" t="s">
        <v>645</v>
      </c>
      <c r="C192" s="5"/>
      <c r="D192" s="5" t="s">
        <v>581</v>
      </c>
      <c r="E192" s="5" t="s">
        <v>60</v>
      </c>
      <c r="F192" s="6" t="n">
        <v>15720.84</v>
      </c>
      <c r="G192" s="7" t="n">
        <v>752</v>
      </c>
      <c r="H192" s="8" t="n">
        <v>0.8685</v>
      </c>
      <c r="I192" s="8" t="n">
        <v>0.6637</v>
      </c>
      <c r="J192" s="7" t="n">
        <v>57</v>
      </c>
      <c r="K192" s="5" t="n">
        <v>26</v>
      </c>
      <c r="L192" s="5" t="n">
        <v>91</v>
      </c>
      <c r="M192" s="5" t="n">
        <v>3.6</v>
      </c>
      <c r="N192" s="9" t="s">
        <v>54</v>
      </c>
      <c r="O192" s="5"/>
      <c r="P192" s="5"/>
      <c r="Q192" s="5"/>
      <c r="R192" s="7"/>
      <c r="S192" s="7"/>
      <c r="T192" s="5"/>
      <c r="U192" s="6"/>
      <c r="V192" s="7"/>
      <c r="W192" s="5"/>
      <c r="X192" s="7"/>
      <c r="Y192" s="7"/>
      <c r="Z192" s="7"/>
      <c r="AA192" s="10"/>
      <c r="AB192" s="11"/>
      <c r="AC192" s="10"/>
      <c r="AD192" s="12"/>
      <c r="AE192" s="12"/>
      <c r="AF192" s="12"/>
      <c r="AG192" s="7"/>
      <c r="AH192" s="7"/>
      <c r="AI192" s="5" t="s">
        <v>646</v>
      </c>
    </row>
    <row r="193" customFormat="false" ht="15" hidden="false" customHeight="false" outlineLevel="0" collapsed="false">
      <c r="A193" s="5" t="s">
        <v>581</v>
      </c>
      <c r="B193" s="5" t="s">
        <v>647</v>
      </c>
      <c r="C193" s="5"/>
      <c r="D193" s="5" t="s">
        <v>581</v>
      </c>
      <c r="E193" s="5" t="s">
        <v>60</v>
      </c>
      <c r="F193" s="6" t="n">
        <v>15705.27</v>
      </c>
      <c r="G193" s="7" t="n">
        <v>355</v>
      </c>
      <c r="H193" s="8" t="n">
        <v>0.8403</v>
      </c>
      <c r="I193" s="8" t="n">
        <v>0.4792</v>
      </c>
      <c r="J193" s="7" t="n">
        <v>415</v>
      </c>
      <c r="K193" s="5" t="n">
        <v>18</v>
      </c>
      <c r="L193" s="5" t="n">
        <v>23</v>
      </c>
      <c r="M193" s="5" t="n">
        <v>4.1</v>
      </c>
      <c r="N193" s="9" t="s">
        <v>54</v>
      </c>
      <c r="O193" s="5"/>
      <c r="P193" s="5"/>
      <c r="Q193" s="5"/>
      <c r="R193" s="7"/>
      <c r="S193" s="7"/>
      <c r="T193" s="5"/>
      <c r="U193" s="6"/>
      <c r="V193" s="7"/>
      <c r="W193" s="5"/>
      <c r="X193" s="7"/>
      <c r="Y193" s="7"/>
      <c r="Z193" s="7"/>
      <c r="AA193" s="10"/>
      <c r="AB193" s="11"/>
      <c r="AC193" s="10"/>
      <c r="AD193" s="12"/>
      <c r="AE193" s="12"/>
      <c r="AF193" s="12"/>
      <c r="AG193" s="7"/>
      <c r="AH193" s="7"/>
      <c r="AI193" s="5" t="s">
        <v>648</v>
      </c>
    </row>
    <row r="194" customFormat="false" ht="15" hidden="false" customHeight="false" outlineLevel="0" collapsed="false">
      <c r="A194" s="5" t="s">
        <v>581</v>
      </c>
      <c r="B194" s="5" t="s">
        <v>649</v>
      </c>
      <c r="C194" s="5" t="s">
        <v>650</v>
      </c>
      <c r="D194" s="5" t="s">
        <v>581</v>
      </c>
      <c r="E194" s="5" t="s">
        <v>60</v>
      </c>
      <c r="F194" s="6" t="n">
        <v>15665.08</v>
      </c>
      <c r="G194" s="7" t="n">
        <v>1856</v>
      </c>
      <c r="H194" s="8" t="n">
        <v>0.1216</v>
      </c>
      <c r="I194" s="8" t="n">
        <v>0.1959</v>
      </c>
      <c r="J194" s="7" t="n">
        <v>22</v>
      </c>
      <c r="K194" s="5" t="n">
        <v>81</v>
      </c>
      <c r="L194" s="5" t="n">
        <v>219</v>
      </c>
      <c r="M194" s="5" t="n">
        <v>4.5</v>
      </c>
      <c r="N194" s="9" t="s">
        <v>54</v>
      </c>
      <c r="O194" s="5"/>
      <c r="P194" s="5"/>
      <c r="Q194" s="5"/>
      <c r="R194" s="7"/>
      <c r="S194" s="7"/>
      <c r="T194" s="5"/>
      <c r="U194" s="6"/>
      <c r="V194" s="7"/>
      <c r="W194" s="5"/>
      <c r="X194" s="7"/>
      <c r="Y194" s="7"/>
      <c r="Z194" s="7"/>
      <c r="AA194" s="10"/>
      <c r="AB194" s="11"/>
      <c r="AC194" s="10"/>
      <c r="AD194" s="12"/>
      <c r="AE194" s="12"/>
      <c r="AF194" s="12"/>
      <c r="AG194" s="7"/>
      <c r="AH194" s="7"/>
      <c r="AI194" s="5" t="s">
        <v>651</v>
      </c>
    </row>
    <row r="195" customFormat="false" ht="15" hidden="false" customHeight="false" outlineLevel="0" collapsed="false">
      <c r="A195" s="5" t="s">
        <v>581</v>
      </c>
      <c r="B195" s="5" t="s">
        <v>652</v>
      </c>
      <c r="C195" s="5" t="s">
        <v>653</v>
      </c>
      <c r="D195" s="5" t="s">
        <v>581</v>
      </c>
      <c r="E195" s="5" t="s">
        <v>60</v>
      </c>
      <c r="F195" s="6" t="n">
        <v>15386.21</v>
      </c>
      <c r="G195" s="7" t="n">
        <v>2329</v>
      </c>
      <c r="H195" s="8" t="n">
        <v>0.5973</v>
      </c>
      <c r="I195" s="8" t="n">
        <v>0.3863</v>
      </c>
      <c r="J195" s="7" t="n">
        <v>15</v>
      </c>
      <c r="K195" s="5" t="n">
        <v>67</v>
      </c>
      <c r="L195" s="5" t="n">
        <v>229</v>
      </c>
      <c r="M195" s="5" t="n">
        <v>4.4</v>
      </c>
      <c r="N195" s="9" t="s">
        <v>54</v>
      </c>
      <c r="O195" s="5"/>
      <c r="P195" s="5"/>
      <c r="Q195" s="5"/>
      <c r="R195" s="7"/>
      <c r="S195" s="7"/>
      <c r="T195" s="5"/>
      <c r="U195" s="6"/>
      <c r="V195" s="7"/>
      <c r="W195" s="5"/>
      <c r="X195" s="7"/>
      <c r="Y195" s="7"/>
      <c r="Z195" s="7"/>
      <c r="AA195" s="10"/>
      <c r="AB195" s="11"/>
      <c r="AC195" s="10"/>
      <c r="AD195" s="12"/>
      <c r="AE195" s="12"/>
      <c r="AF195" s="12"/>
      <c r="AG195" s="7"/>
      <c r="AH195" s="7"/>
      <c r="AI195" s="5" t="s">
        <v>654</v>
      </c>
    </row>
    <row r="196" customFormat="false" ht="15" hidden="false" customHeight="false" outlineLevel="0" collapsed="false">
      <c r="A196" s="5" t="s">
        <v>581</v>
      </c>
      <c r="B196" s="5" t="s">
        <v>655</v>
      </c>
      <c r="C196" s="5" t="s">
        <v>656</v>
      </c>
      <c r="D196" s="5" t="s">
        <v>581</v>
      </c>
      <c r="E196" s="5" t="s">
        <v>60</v>
      </c>
      <c r="F196" s="6" t="n">
        <v>15219.21</v>
      </c>
      <c r="G196" s="7" t="n">
        <v>906</v>
      </c>
      <c r="H196" s="8" t="n">
        <v>4.5427</v>
      </c>
      <c r="I196" s="8" t="n">
        <v>2.8884</v>
      </c>
      <c r="J196" s="7" t="n">
        <v>46</v>
      </c>
      <c r="K196" s="5" t="n">
        <v>25</v>
      </c>
      <c r="L196" s="5" t="n">
        <v>100</v>
      </c>
      <c r="M196" s="5" t="n">
        <v>3.6</v>
      </c>
      <c r="N196" s="9" t="s">
        <v>54</v>
      </c>
      <c r="O196" s="5"/>
      <c r="P196" s="5"/>
      <c r="Q196" s="5"/>
      <c r="R196" s="7"/>
      <c r="S196" s="7"/>
      <c r="T196" s="5"/>
      <c r="U196" s="6"/>
      <c r="V196" s="7"/>
      <c r="W196" s="5"/>
      <c r="X196" s="7"/>
      <c r="Y196" s="7"/>
      <c r="Z196" s="7"/>
      <c r="AA196" s="10"/>
      <c r="AB196" s="11"/>
      <c r="AC196" s="10"/>
      <c r="AD196" s="12"/>
      <c r="AE196" s="12"/>
      <c r="AF196" s="12"/>
      <c r="AG196" s="7"/>
      <c r="AH196" s="7"/>
      <c r="AI196" s="5" t="s">
        <v>657</v>
      </c>
    </row>
    <row r="197" customFormat="false" ht="15" hidden="false" customHeight="false" outlineLevel="0" collapsed="false">
      <c r="A197" s="5" t="s">
        <v>581</v>
      </c>
      <c r="B197" s="5" t="s">
        <v>658</v>
      </c>
      <c r="C197" s="5" t="s">
        <v>659</v>
      </c>
      <c r="D197" s="5" t="s">
        <v>581</v>
      </c>
      <c r="E197" s="5" t="s">
        <v>60</v>
      </c>
      <c r="F197" s="6" t="n">
        <v>14831.79</v>
      </c>
      <c r="G197" s="7" t="n">
        <v>2209</v>
      </c>
      <c r="H197" s="8" t="n">
        <v>-0.0821</v>
      </c>
      <c r="I197" s="8" t="n">
        <v>-0.1435</v>
      </c>
      <c r="J197" s="7" t="n">
        <v>549</v>
      </c>
      <c r="K197" s="5" t="n">
        <v>440</v>
      </c>
      <c r="L197" s="5" t="n">
        <v>1717</v>
      </c>
      <c r="M197" s="5" t="n">
        <v>4.6</v>
      </c>
      <c r="N197" s="9" t="s">
        <v>54</v>
      </c>
      <c r="O197" s="5"/>
      <c r="P197" s="5" t="s">
        <v>660</v>
      </c>
      <c r="Q197" s="14" t="s">
        <v>661</v>
      </c>
      <c r="R197" s="7" t="n">
        <v>24655</v>
      </c>
      <c r="S197" s="7" t="n">
        <v>1044</v>
      </c>
      <c r="T197" s="5" t="s">
        <v>662</v>
      </c>
      <c r="U197" s="6" t="n">
        <v>214102.38</v>
      </c>
      <c r="V197" s="7" t="n">
        <v>53471</v>
      </c>
      <c r="W197" s="5" t="n">
        <v>3116</v>
      </c>
      <c r="X197" s="7" t="n">
        <v>162</v>
      </c>
      <c r="Y197" s="7" t="n">
        <v>1074</v>
      </c>
      <c r="Z197" s="7" t="n">
        <v>289</v>
      </c>
      <c r="AA197" s="10" t="n">
        <v>0.05</v>
      </c>
      <c r="AB197" s="11" t="n">
        <v>245</v>
      </c>
      <c r="AC197" s="10" t="n">
        <v>7.69</v>
      </c>
      <c r="AD197" s="12" t="n">
        <v>0.78</v>
      </c>
      <c r="AE197" s="12" t="n">
        <v>0.93</v>
      </c>
      <c r="AF197" s="12" t="n">
        <v>0.98</v>
      </c>
      <c r="AG197" s="7" t="n">
        <v>99</v>
      </c>
      <c r="AH197" s="7" t="n">
        <v>2490</v>
      </c>
      <c r="AI197" s="5" t="s">
        <v>663</v>
      </c>
    </row>
    <row r="198" customFormat="false" ht="15" hidden="false" customHeight="false" outlineLevel="0" collapsed="false">
      <c r="A198" s="5" t="s">
        <v>581</v>
      </c>
      <c r="B198" s="5" t="s">
        <v>664</v>
      </c>
      <c r="C198" s="5" t="s">
        <v>665</v>
      </c>
      <c r="D198" s="5" t="s">
        <v>581</v>
      </c>
      <c r="E198" s="5" t="s">
        <v>60</v>
      </c>
      <c r="F198" s="6" t="n">
        <v>14751.73</v>
      </c>
      <c r="G198" s="7" t="n">
        <v>1843</v>
      </c>
      <c r="H198" s="8" t="n">
        <v>-0.0161</v>
      </c>
      <c r="I198" s="8" t="n">
        <v>-0.084</v>
      </c>
      <c r="J198" s="7" t="n">
        <v>223</v>
      </c>
      <c r="K198" s="5" t="n">
        <v>12</v>
      </c>
      <c r="L198" s="5" t="n">
        <v>13</v>
      </c>
      <c r="M198" s="5" t="n">
        <v>4.4</v>
      </c>
      <c r="N198" s="9" t="s">
        <v>54</v>
      </c>
      <c r="O198" s="5"/>
      <c r="P198" s="5"/>
      <c r="Q198" s="5"/>
      <c r="R198" s="7"/>
      <c r="S198" s="7"/>
      <c r="T198" s="5"/>
      <c r="U198" s="6"/>
      <c r="V198" s="7"/>
      <c r="W198" s="5"/>
      <c r="X198" s="7"/>
      <c r="Y198" s="7"/>
      <c r="Z198" s="7"/>
      <c r="AA198" s="10"/>
      <c r="AB198" s="11"/>
      <c r="AC198" s="10"/>
      <c r="AD198" s="12"/>
      <c r="AE198" s="12"/>
      <c r="AF198" s="12"/>
      <c r="AG198" s="7"/>
      <c r="AH198" s="7"/>
      <c r="AI198" s="5" t="s">
        <v>666</v>
      </c>
    </row>
    <row r="199" customFormat="false" ht="15" hidden="false" customHeight="false" outlineLevel="0" collapsed="false">
      <c r="A199" s="5" t="s">
        <v>581</v>
      </c>
      <c r="B199" s="5" t="s">
        <v>667</v>
      </c>
      <c r="C199" s="5"/>
      <c r="D199" s="5" t="s">
        <v>581</v>
      </c>
      <c r="E199" s="5" t="s">
        <v>60</v>
      </c>
      <c r="F199" s="6" t="n">
        <v>14660.2</v>
      </c>
      <c r="G199" s="7" t="n">
        <v>777</v>
      </c>
      <c r="H199" s="8" t="n">
        <v>1.4176</v>
      </c>
      <c r="I199" s="8" t="n">
        <v>0.7903</v>
      </c>
      <c r="J199" s="7" t="n">
        <v>699</v>
      </c>
      <c r="K199" s="5" t="n">
        <v>14</v>
      </c>
      <c r="L199" s="5" t="n">
        <v>19</v>
      </c>
      <c r="M199" s="5" t="n">
        <v>4.3</v>
      </c>
      <c r="N199" s="9" t="s">
        <v>54</v>
      </c>
      <c r="O199" s="5" t="s">
        <v>258</v>
      </c>
      <c r="P199" s="5"/>
      <c r="Q199" s="5"/>
      <c r="R199" s="7"/>
      <c r="S199" s="7"/>
      <c r="T199" s="5" t="s">
        <v>668</v>
      </c>
      <c r="U199" s="6" t="n">
        <v>22176.28</v>
      </c>
      <c r="V199" s="7" t="n">
        <v>1514</v>
      </c>
      <c r="W199" s="5" t="n">
        <v>19</v>
      </c>
      <c r="X199" s="7" t="n">
        <v>295</v>
      </c>
      <c r="Y199" s="7" t="n">
        <v>586</v>
      </c>
      <c r="Z199" s="7" t="n">
        <v>97</v>
      </c>
      <c r="AA199" s="10" t="n">
        <v>8.5</v>
      </c>
      <c r="AB199" s="11" t="n">
        <v>55.25</v>
      </c>
      <c r="AC199" s="10"/>
      <c r="AD199" s="12"/>
      <c r="AE199" s="12"/>
      <c r="AF199" s="12"/>
      <c r="AG199" s="7" t="n">
        <v>115</v>
      </c>
      <c r="AH199" s="7" t="n">
        <v>2794</v>
      </c>
      <c r="AI199" s="5" t="s">
        <v>669</v>
      </c>
    </row>
    <row r="200" customFormat="false" ht="15" hidden="false" customHeight="false" outlineLevel="0" collapsed="false">
      <c r="A200" s="5" t="s">
        <v>150</v>
      </c>
      <c r="B200" s="5" t="s">
        <v>670</v>
      </c>
      <c r="C200" s="5" t="s">
        <v>671</v>
      </c>
      <c r="D200" s="5" t="s">
        <v>150</v>
      </c>
      <c r="E200" s="5" t="s">
        <v>60</v>
      </c>
      <c r="F200" s="6" t="n">
        <v>22962.3</v>
      </c>
      <c r="G200" s="7" t="n">
        <v>527</v>
      </c>
      <c r="H200" s="8" t="n">
        <v>0.6186</v>
      </c>
      <c r="I200" s="8" t="n">
        <v>0.5592</v>
      </c>
      <c r="J200" s="7" t="n">
        <v>100</v>
      </c>
      <c r="K200" s="5" t="n">
        <v>8</v>
      </c>
      <c r="L200" s="5" t="n">
        <v>39</v>
      </c>
      <c r="M200" s="5" t="n">
        <v>4.3</v>
      </c>
      <c r="N200" s="9" t="s">
        <v>54</v>
      </c>
      <c r="O200" s="5"/>
      <c r="P200" s="5"/>
      <c r="Q200" s="5"/>
      <c r="R200" s="7"/>
      <c r="S200" s="7"/>
      <c r="T200" s="5"/>
      <c r="U200" s="6"/>
      <c r="V200" s="7"/>
      <c r="W200" s="5"/>
      <c r="X200" s="7"/>
      <c r="Y200" s="7"/>
      <c r="Z200" s="7"/>
      <c r="AA200" s="10"/>
      <c r="AB200" s="11"/>
      <c r="AC200" s="10"/>
      <c r="AD200" s="12"/>
      <c r="AE200" s="12"/>
      <c r="AF200" s="12"/>
      <c r="AG200" s="7"/>
      <c r="AH200" s="7"/>
      <c r="AI200" s="5" t="s">
        <v>672</v>
      </c>
    </row>
    <row r="201" customFormat="false" ht="15" hidden="false" customHeight="false" outlineLevel="0" collapsed="false">
      <c r="A201" s="5" t="s">
        <v>150</v>
      </c>
      <c r="B201" s="5" t="s">
        <v>673</v>
      </c>
      <c r="C201" s="5"/>
      <c r="D201" s="5" t="s">
        <v>150</v>
      </c>
      <c r="E201" s="5" t="s">
        <v>60</v>
      </c>
      <c r="F201" s="6" t="n">
        <v>22866.72</v>
      </c>
      <c r="G201" s="7" t="n">
        <v>58</v>
      </c>
      <c r="H201" s="8" t="n">
        <v>0</v>
      </c>
      <c r="I201" s="8" t="n">
        <v>0</v>
      </c>
      <c r="J201" s="7" t="n">
        <v>14</v>
      </c>
      <c r="K201" s="5" t="n">
        <v>7</v>
      </c>
      <c r="L201" s="5" t="n">
        <v>40</v>
      </c>
      <c r="M201" s="5" t="n">
        <v>2.8</v>
      </c>
      <c r="N201" s="9" t="s">
        <v>54</v>
      </c>
      <c r="O201" s="5"/>
      <c r="P201" s="5"/>
      <c r="Q201" s="5"/>
      <c r="R201" s="7"/>
      <c r="S201" s="7"/>
      <c r="T201" s="5"/>
      <c r="U201" s="6"/>
      <c r="V201" s="7"/>
      <c r="W201" s="5"/>
      <c r="X201" s="7"/>
      <c r="Y201" s="7"/>
      <c r="Z201" s="7"/>
      <c r="AA201" s="10"/>
      <c r="AB201" s="11"/>
      <c r="AC201" s="10"/>
      <c r="AD201" s="12"/>
      <c r="AE201" s="12"/>
      <c r="AF201" s="12"/>
      <c r="AG201" s="7"/>
      <c r="AH201" s="7"/>
      <c r="AI201" s="5" t="s">
        <v>674</v>
      </c>
    </row>
    <row r="202" customFormat="false" ht="15" hidden="false" customHeight="false" outlineLevel="0" collapsed="false">
      <c r="A202" s="5" t="s">
        <v>150</v>
      </c>
      <c r="B202" s="5" t="s">
        <v>675</v>
      </c>
      <c r="C202" s="5" t="s">
        <v>676</v>
      </c>
      <c r="D202" s="5" t="s">
        <v>677</v>
      </c>
      <c r="E202" s="5" t="s">
        <v>60</v>
      </c>
      <c r="F202" s="6" t="n">
        <v>22197.19</v>
      </c>
      <c r="G202" s="7" t="n">
        <v>1755</v>
      </c>
      <c r="H202" s="8" t="n">
        <v>-0.6271</v>
      </c>
      <c r="I202" s="8" t="n">
        <v>-0.2363</v>
      </c>
      <c r="J202" s="7" t="n">
        <v>347</v>
      </c>
      <c r="K202" s="5" t="n">
        <v>6</v>
      </c>
      <c r="L202" s="5" t="n">
        <v>365</v>
      </c>
      <c r="M202" s="5" t="n">
        <v>4.1</v>
      </c>
      <c r="N202" s="13" t="s">
        <v>61</v>
      </c>
      <c r="O202" s="5"/>
      <c r="P202" s="5"/>
      <c r="Q202" s="5"/>
      <c r="R202" s="7"/>
      <c r="S202" s="7"/>
      <c r="T202" s="5"/>
      <c r="U202" s="6"/>
      <c r="V202" s="7"/>
      <c r="W202" s="5"/>
      <c r="X202" s="7"/>
      <c r="Y202" s="7"/>
      <c r="Z202" s="7"/>
      <c r="AA202" s="10"/>
      <c r="AB202" s="11"/>
      <c r="AC202" s="10"/>
      <c r="AD202" s="12"/>
      <c r="AE202" s="12"/>
      <c r="AF202" s="12"/>
      <c r="AG202" s="7"/>
      <c r="AH202" s="7"/>
      <c r="AI202" s="5" t="s">
        <v>678</v>
      </c>
    </row>
    <row r="203" customFormat="false" ht="15" hidden="false" customHeight="false" outlineLevel="0" collapsed="false">
      <c r="A203" s="5" t="s">
        <v>150</v>
      </c>
      <c r="B203" s="5" t="s">
        <v>679</v>
      </c>
      <c r="C203" s="5" t="s">
        <v>680</v>
      </c>
      <c r="D203" s="5" t="s">
        <v>150</v>
      </c>
      <c r="E203" s="5" t="s">
        <v>53</v>
      </c>
      <c r="F203" s="6" t="n">
        <v>21861.93</v>
      </c>
      <c r="G203" s="7" t="n">
        <v>53</v>
      </c>
      <c r="H203" s="8" t="n">
        <v>-0.2984</v>
      </c>
      <c r="I203" s="8" t="n">
        <v>-0.3908</v>
      </c>
      <c r="J203" s="7" t="n">
        <v>172</v>
      </c>
      <c r="K203" s="5" t="n">
        <v>11</v>
      </c>
      <c r="L203" s="5" t="n">
        <v>12</v>
      </c>
      <c r="M203" s="5" t="n">
        <v>3.8</v>
      </c>
      <c r="N203" s="9" t="s">
        <v>54</v>
      </c>
      <c r="O203" s="5"/>
      <c r="P203" s="5"/>
      <c r="Q203" s="5"/>
      <c r="R203" s="7"/>
      <c r="S203" s="7"/>
      <c r="T203" s="5"/>
      <c r="U203" s="6"/>
      <c r="V203" s="7"/>
      <c r="W203" s="5"/>
      <c r="X203" s="7"/>
      <c r="Y203" s="7"/>
      <c r="Z203" s="7"/>
      <c r="AA203" s="10"/>
      <c r="AB203" s="11"/>
      <c r="AC203" s="10"/>
      <c r="AD203" s="12"/>
      <c r="AE203" s="12"/>
      <c r="AF203" s="12"/>
      <c r="AG203" s="7"/>
      <c r="AH203" s="7"/>
      <c r="AI203" s="5" t="s">
        <v>681</v>
      </c>
    </row>
    <row r="204" customFormat="false" ht="15" hidden="false" customHeight="false" outlineLevel="0" collapsed="false">
      <c r="A204" s="5" t="s">
        <v>150</v>
      </c>
      <c r="B204" s="5" t="s">
        <v>682</v>
      </c>
      <c r="C204" s="5" t="s">
        <v>683</v>
      </c>
      <c r="D204" s="5" t="s">
        <v>150</v>
      </c>
      <c r="E204" s="5" t="s">
        <v>60</v>
      </c>
      <c r="F204" s="6" t="n">
        <v>20623.78</v>
      </c>
      <c r="G204" s="7" t="n">
        <v>136</v>
      </c>
      <c r="H204" s="8" t="n">
        <v>0.4873</v>
      </c>
      <c r="I204" s="8" t="n">
        <v>0.0794</v>
      </c>
      <c r="J204" s="7" t="n">
        <v>105</v>
      </c>
      <c r="K204" s="5" t="n">
        <v>9</v>
      </c>
      <c r="L204" s="5" t="n">
        <v>2</v>
      </c>
      <c r="M204" s="5" t="n">
        <v>4.3</v>
      </c>
      <c r="N204" s="9" t="s">
        <v>54</v>
      </c>
      <c r="O204" s="5"/>
      <c r="P204" s="5"/>
      <c r="Q204" s="5"/>
      <c r="R204" s="7"/>
      <c r="S204" s="7"/>
      <c r="T204" s="5"/>
      <c r="U204" s="6"/>
      <c r="V204" s="7"/>
      <c r="W204" s="5"/>
      <c r="X204" s="7"/>
      <c r="Y204" s="7"/>
      <c r="Z204" s="7"/>
      <c r="AA204" s="10"/>
      <c r="AB204" s="11"/>
      <c r="AC204" s="10"/>
      <c r="AD204" s="12"/>
      <c r="AE204" s="12"/>
      <c r="AF204" s="12"/>
      <c r="AG204" s="7"/>
      <c r="AH204" s="7"/>
      <c r="AI204" s="5" t="s">
        <v>684</v>
      </c>
    </row>
    <row r="205" customFormat="false" ht="15" hidden="false" customHeight="false" outlineLevel="0" collapsed="false">
      <c r="A205" s="5" t="s">
        <v>150</v>
      </c>
      <c r="B205" s="5" t="s">
        <v>685</v>
      </c>
      <c r="C205" s="5" t="s">
        <v>686</v>
      </c>
      <c r="D205" s="5" t="s">
        <v>59</v>
      </c>
      <c r="E205" s="5" t="s">
        <v>60</v>
      </c>
      <c r="F205" s="6" t="n">
        <v>20615.21</v>
      </c>
      <c r="G205" s="7" t="n">
        <v>410</v>
      </c>
      <c r="H205" s="8" t="n">
        <v>0.2353</v>
      </c>
      <c r="I205" s="8" t="n">
        <v>0.0049</v>
      </c>
      <c r="J205" s="7" t="n">
        <v>129</v>
      </c>
      <c r="K205" s="5" t="n">
        <v>16</v>
      </c>
      <c r="L205" s="5" t="n">
        <v>788</v>
      </c>
      <c r="M205" s="5" t="n">
        <v>4.3</v>
      </c>
      <c r="N205" s="13" t="s">
        <v>61</v>
      </c>
      <c r="O205" s="5"/>
      <c r="P205" s="5"/>
      <c r="Q205" s="5"/>
      <c r="R205" s="7"/>
      <c r="S205" s="7"/>
      <c r="T205" s="5"/>
      <c r="U205" s="6"/>
      <c r="V205" s="7"/>
      <c r="W205" s="5"/>
      <c r="X205" s="7"/>
      <c r="Y205" s="7"/>
      <c r="Z205" s="7"/>
      <c r="AA205" s="10"/>
      <c r="AB205" s="11"/>
      <c r="AC205" s="10"/>
      <c r="AD205" s="12"/>
      <c r="AE205" s="12"/>
      <c r="AF205" s="12"/>
      <c r="AG205" s="7"/>
      <c r="AH205" s="7"/>
      <c r="AI205" s="5" t="s">
        <v>687</v>
      </c>
    </row>
    <row r="206" customFormat="false" ht="15" hidden="false" customHeight="false" outlineLevel="0" collapsed="false">
      <c r="A206" s="5" t="s">
        <v>150</v>
      </c>
      <c r="B206" s="5" t="s">
        <v>688</v>
      </c>
      <c r="C206" s="5"/>
      <c r="D206" s="5" t="s">
        <v>150</v>
      </c>
      <c r="E206" s="5" t="s">
        <v>53</v>
      </c>
      <c r="F206" s="6" t="n">
        <v>20532.11</v>
      </c>
      <c r="G206" s="7" t="n">
        <v>682</v>
      </c>
      <c r="H206" s="8" t="n">
        <v>-0.4857</v>
      </c>
      <c r="I206" s="8" t="n">
        <v>-0.5566</v>
      </c>
      <c r="J206" s="7" t="n">
        <v>78</v>
      </c>
      <c r="K206" s="5" t="n">
        <v>14</v>
      </c>
      <c r="L206" s="5" t="n">
        <v>92</v>
      </c>
      <c r="M206" s="5" t="n">
        <v>3</v>
      </c>
      <c r="N206" s="9" t="s">
        <v>54</v>
      </c>
      <c r="O206" s="5"/>
      <c r="P206" s="5"/>
      <c r="Q206" s="5"/>
      <c r="R206" s="7"/>
      <c r="S206" s="7"/>
      <c r="T206" s="5"/>
      <c r="U206" s="6"/>
      <c r="V206" s="7"/>
      <c r="W206" s="5"/>
      <c r="X206" s="7"/>
      <c r="Y206" s="7"/>
      <c r="Z206" s="7"/>
      <c r="AA206" s="10"/>
      <c r="AB206" s="11"/>
      <c r="AC206" s="10"/>
      <c r="AD206" s="12"/>
      <c r="AE206" s="12"/>
      <c r="AF206" s="12"/>
      <c r="AG206" s="7"/>
      <c r="AH206" s="7"/>
      <c r="AI206" s="5" t="s">
        <v>689</v>
      </c>
    </row>
    <row r="207" customFormat="false" ht="15" hidden="false" customHeight="false" outlineLevel="0" collapsed="false">
      <c r="A207" s="5" t="s">
        <v>150</v>
      </c>
      <c r="B207" s="5" t="s">
        <v>690</v>
      </c>
      <c r="C207" s="5" t="s">
        <v>691</v>
      </c>
      <c r="D207" s="5" t="s">
        <v>150</v>
      </c>
      <c r="E207" s="5" t="s">
        <v>60</v>
      </c>
      <c r="F207" s="6" t="n">
        <v>20495.66</v>
      </c>
      <c r="G207" s="7" t="n">
        <v>291</v>
      </c>
      <c r="H207" s="8" t="n">
        <v>-0.3505</v>
      </c>
      <c r="I207" s="8" t="n">
        <v>-0.3975</v>
      </c>
      <c r="J207" s="7" t="n">
        <v>73</v>
      </c>
      <c r="K207" s="5" t="n">
        <v>22</v>
      </c>
      <c r="L207" s="5" t="n">
        <v>122</v>
      </c>
      <c r="M207" s="5" t="n">
        <v>2.2</v>
      </c>
      <c r="N207" s="9" t="s">
        <v>54</v>
      </c>
      <c r="O207" s="5"/>
      <c r="P207" s="5"/>
      <c r="Q207" s="5"/>
      <c r="R207" s="7"/>
      <c r="S207" s="7"/>
      <c r="T207" s="5"/>
      <c r="U207" s="6"/>
      <c r="V207" s="7"/>
      <c r="W207" s="5"/>
      <c r="X207" s="7"/>
      <c r="Y207" s="7"/>
      <c r="Z207" s="7"/>
      <c r="AA207" s="10"/>
      <c r="AB207" s="11"/>
      <c r="AC207" s="10"/>
      <c r="AD207" s="12"/>
      <c r="AE207" s="12"/>
      <c r="AF207" s="12"/>
      <c r="AG207" s="7"/>
      <c r="AH207" s="7"/>
      <c r="AI207" s="5" t="s">
        <v>692</v>
      </c>
    </row>
    <row r="208" customFormat="false" ht="15" hidden="false" customHeight="false" outlineLevel="0" collapsed="false">
      <c r="A208" s="5" t="s">
        <v>150</v>
      </c>
      <c r="B208" s="5" t="s">
        <v>693</v>
      </c>
      <c r="C208" s="5" t="s">
        <v>694</v>
      </c>
      <c r="D208" s="5" t="s">
        <v>150</v>
      </c>
      <c r="E208" s="5" t="s">
        <v>60</v>
      </c>
      <c r="F208" s="6" t="n">
        <v>20326.76</v>
      </c>
      <c r="G208" s="7" t="n">
        <v>1227</v>
      </c>
      <c r="H208" s="8" t="n">
        <v>-0.0891</v>
      </c>
      <c r="I208" s="8" t="n">
        <v>-0.2582</v>
      </c>
      <c r="J208" s="7" t="n">
        <v>187</v>
      </c>
      <c r="K208" s="5" t="n">
        <v>14</v>
      </c>
      <c r="L208" s="5" t="n">
        <v>91</v>
      </c>
      <c r="M208" s="5" t="n">
        <v>4.5</v>
      </c>
      <c r="N208" s="9" t="s">
        <v>54</v>
      </c>
      <c r="O208" s="5"/>
      <c r="P208" s="5" t="s">
        <v>695</v>
      </c>
      <c r="Q208" s="14" t="s">
        <v>696</v>
      </c>
      <c r="R208" s="7" t="n">
        <v>370</v>
      </c>
      <c r="S208" s="7" t="n">
        <v>0</v>
      </c>
      <c r="T208" s="5" t="s">
        <v>697</v>
      </c>
      <c r="U208" s="6" t="n">
        <v>241339.43</v>
      </c>
      <c r="V208" s="7" t="n">
        <v>17471</v>
      </c>
      <c r="W208" s="5" t="n">
        <v>211</v>
      </c>
      <c r="X208" s="7" t="n">
        <v>675</v>
      </c>
      <c r="Y208" s="7" t="n">
        <v>1256</v>
      </c>
      <c r="Z208" s="7" t="n">
        <v>319</v>
      </c>
      <c r="AA208" s="10" t="n">
        <v>7.56</v>
      </c>
      <c r="AB208" s="11" t="n">
        <v>111.1</v>
      </c>
      <c r="AC208" s="10" t="n">
        <v>20.27</v>
      </c>
      <c r="AD208" s="12" t="n">
        <v>0.67</v>
      </c>
      <c r="AE208" s="12" t="n">
        <v>0.9</v>
      </c>
      <c r="AF208" s="12" t="n">
        <v>1</v>
      </c>
      <c r="AG208" s="7" t="n">
        <v>33</v>
      </c>
      <c r="AH208" s="7" t="n">
        <v>1517</v>
      </c>
      <c r="AI208" s="5" t="s">
        <v>698</v>
      </c>
    </row>
    <row r="209" customFormat="false" ht="15" hidden="false" customHeight="false" outlineLevel="0" collapsed="false">
      <c r="A209" s="5" t="s">
        <v>150</v>
      </c>
      <c r="B209" s="5" t="s">
        <v>699</v>
      </c>
      <c r="C209" s="5" t="s">
        <v>700</v>
      </c>
      <c r="D209" s="5" t="s">
        <v>59</v>
      </c>
      <c r="E209" s="5" t="s">
        <v>60</v>
      </c>
      <c r="F209" s="6" t="n">
        <v>20298.02</v>
      </c>
      <c r="G209" s="7" t="n">
        <v>227</v>
      </c>
      <c r="H209" s="8" t="n">
        <v>6.8146</v>
      </c>
      <c r="I209" s="8" t="n">
        <v>3.54</v>
      </c>
      <c r="J209" s="7" t="n">
        <v>66</v>
      </c>
      <c r="K209" s="5" t="n">
        <v>6</v>
      </c>
      <c r="L209" s="5" t="n">
        <v>433</v>
      </c>
      <c r="M209" s="5" t="n">
        <v>4.3</v>
      </c>
      <c r="N209" s="13" t="s">
        <v>61</v>
      </c>
      <c r="O209" s="5"/>
      <c r="P209" s="5"/>
      <c r="Q209" s="5"/>
      <c r="R209" s="7"/>
      <c r="S209" s="7"/>
      <c r="T209" s="5"/>
      <c r="U209" s="6"/>
      <c r="V209" s="7"/>
      <c r="W209" s="5"/>
      <c r="X209" s="7"/>
      <c r="Y209" s="7"/>
      <c r="Z209" s="7"/>
      <c r="AA209" s="10"/>
      <c r="AB209" s="11"/>
      <c r="AC209" s="10"/>
      <c r="AD209" s="12"/>
      <c r="AE209" s="12"/>
      <c r="AF209" s="12"/>
      <c r="AG209" s="7"/>
      <c r="AH209" s="7"/>
      <c r="AI209" s="5" t="s">
        <v>701</v>
      </c>
    </row>
    <row r="210" customFormat="false" ht="15" hidden="false" customHeight="false" outlineLevel="0" collapsed="false">
      <c r="A210" s="5" t="s">
        <v>150</v>
      </c>
      <c r="B210" s="5" t="s">
        <v>702</v>
      </c>
      <c r="C210" s="5" t="s">
        <v>703</v>
      </c>
      <c r="D210" s="5" t="s">
        <v>150</v>
      </c>
      <c r="E210" s="5" t="s">
        <v>60</v>
      </c>
      <c r="F210" s="6" t="n">
        <v>19866.33</v>
      </c>
      <c r="G210" s="7" t="n">
        <v>703</v>
      </c>
      <c r="H210" s="8" t="n">
        <v>-0.1598</v>
      </c>
      <c r="I210" s="8" t="n">
        <v>0.5086</v>
      </c>
      <c r="J210" s="7" t="n">
        <v>171</v>
      </c>
      <c r="K210" s="5" t="n">
        <v>51</v>
      </c>
      <c r="L210" s="5" t="n">
        <v>1045</v>
      </c>
      <c r="M210" s="5" t="n">
        <v>4.5</v>
      </c>
      <c r="N210" s="15" t="s">
        <v>151</v>
      </c>
      <c r="O210" s="5" t="s">
        <v>704</v>
      </c>
      <c r="P210" s="5"/>
      <c r="Q210" s="5"/>
      <c r="R210" s="7"/>
      <c r="S210" s="7"/>
      <c r="T210" s="5"/>
      <c r="U210" s="6"/>
      <c r="V210" s="7"/>
      <c r="W210" s="5"/>
      <c r="X210" s="7"/>
      <c r="Y210" s="7"/>
      <c r="Z210" s="7"/>
      <c r="AA210" s="10"/>
      <c r="AB210" s="11"/>
      <c r="AC210" s="10"/>
      <c r="AD210" s="12"/>
      <c r="AE210" s="12"/>
      <c r="AF210" s="12"/>
      <c r="AG210" s="7"/>
      <c r="AH210" s="7"/>
      <c r="AI210" s="5" t="s">
        <v>705</v>
      </c>
    </row>
    <row r="211" customFormat="false" ht="15" hidden="false" customHeight="false" outlineLevel="0" collapsed="false">
      <c r="A211" s="5" t="s">
        <v>150</v>
      </c>
      <c r="B211" s="5" t="s">
        <v>706</v>
      </c>
      <c r="C211" s="5" t="s">
        <v>707</v>
      </c>
      <c r="D211" s="5" t="s">
        <v>150</v>
      </c>
      <c r="E211" s="5" t="s">
        <v>60</v>
      </c>
      <c r="F211" s="6" t="n">
        <v>19832.81</v>
      </c>
      <c r="G211" s="7" t="n">
        <v>240</v>
      </c>
      <c r="H211" s="8" t="n">
        <v>11.0846</v>
      </c>
      <c r="I211" s="8" t="n">
        <v>20.8182</v>
      </c>
      <c r="J211" s="7" t="n">
        <v>58</v>
      </c>
      <c r="K211" s="5" t="n">
        <v>14</v>
      </c>
      <c r="L211" s="5" t="n">
        <v>198</v>
      </c>
      <c r="M211" s="5" t="n">
        <v>3</v>
      </c>
      <c r="N211" s="9" t="s">
        <v>54</v>
      </c>
      <c r="O211" s="5"/>
      <c r="P211" s="5"/>
      <c r="Q211" s="5"/>
      <c r="R211" s="7"/>
      <c r="S211" s="7"/>
      <c r="T211" s="5"/>
      <c r="U211" s="6"/>
      <c r="V211" s="7"/>
      <c r="W211" s="5"/>
      <c r="X211" s="7"/>
      <c r="Y211" s="7"/>
      <c r="Z211" s="7"/>
      <c r="AA211" s="10"/>
      <c r="AB211" s="11"/>
      <c r="AC211" s="10"/>
      <c r="AD211" s="12"/>
      <c r="AE211" s="12"/>
      <c r="AF211" s="12"/>
      <c r="AG211" s="7"/>
      <c r="AH211" s="7"/>
      <c r="AI211" s="5" t="s">
        <v>708</v>
      </c>
    </row>
    <row r="212" customFormat="false" ht="15" hidden="false" customHeight="false" outlineLevel="0" collapsed="false">
      <c r="A212" s="5" t="s">
        <v>150</v>
      </c>
      <c r="B212" s="5" t="s">
        <v>709</v>
      </c>
      <c r="C212" s="5" t="s">
        <v>710</v>
      </c>
      <c r="D212" s="5" t="s">
        <v>150</v>
      </c>
      <c r="E212" s="5" t="s">
        <v>53</v>
      </c>
      <c r="F212" s="6" t="n">
        <v>19417.32</v>
      </c>
      <c r="G212" s="7" t="n">
        <v>87</v>
      </c>
      <c r="H212" s="8" t="n">
        <v>0</v>
      </c>
      <c r="I212" s="8" t="n">
        <v>0</v>
      </c>
      <c r="J212" s="7" t="n">
        <v>36</v>
      </c>
      <c r="K212" s="5" t="n">
        <v>2</v>
      </c>
      <c r="L212" s="5" t="n">
        <v>8</v>
      </c>
      <c r="M212" s="5" t="n">
        <v>3.5</v>
      </c>
      <c r="N212" s="9" t="s">
        <v>54</v>
      </c>
      <c r="O212" s="5"/>
      <c r="P212" s="5"/>
      <c r="Q212" s="5"/>
      <c r="R212" s="7"/>
      <c r="S212" s="7"/>
      <c r="T212" s="5"/>
      <c r="U212" s="6"/>
      <c r="V212" s="7"/>
      <c r="W212" s="5"/>
      <c r="X212" s="7"/>
      <c r="Y212" s="7"/>
      <c r="Z212" s="7"/>
      <c r="AA212" s="10"/>
      <c r="AB212" s="11"/>
      <c r="AC212" s="10"/>
      <c r="AD212" s="12"/>
      <c r="AE212" s="12"/>
      <c r="AF212" s="12"/>
      <c r="AG212" s="7"/>
      <c r="AH212" s="7"/>
      <c r="AI212" s="5" t="s">
        <v>711</v>
      </c>
    </row>
    <row r="213" customFormat="false" ht="15" hidden="false" customHeight="false" outlineLevel="0" collapsed="false">
      <c r="A213" s="5" t="s">
        <v>150</v>
      </c>
      <c r="B213" s="5" t="s">
        <v>712</v>
      </c>
      <c r="C213" s="5"/>
      <c r="D213" s="5" t="s">
        <v>150</v>
      </c>
      <c r="E213" s="5" t="s">
        <v>60</v>
      </c>
      <c r="F213" s="6" t="n">
        <v>18855.45</v>
      </c>
      <c r="G213" s="7" t="n">
        <v>239</v>
      </c>
      <c r="H213" s="8" t="n">
        <v>12.8009</v>
      </c>
      <c r="I213" s="8" t="n">
        <v>11.5789</v>
      </c>
      <c r="J213" s="7" t="n">
        <v>18</v>
      </c>
      <c r="K213" s="5" t="n">
        <v>13</v>
      </c>
      <c r="L213" s="5" t="n">
        <v>32</v>
      </c>
      <c r="M213" s="5" t="n">
        <v>4.4</v>
      </c>
      <c r="N213" s="9" t="s">
        <v>54</v>
      </c>
      <c r="O213" s="5"/>
      <c r="P213" s="5"/>
      <c r="Q213" s="5"/>
      <c r="R213" s="7"/>
      <c r="S213" s="7"/>
      <c r="T213" s="5"/>
      <c r="U213" s="6"/>
      <c r="V213" s="7"/>
      <c r="W213" s="5"/>
      <c r="X213" s="7"/>
      <c r="Y213" s="7"/>
      <c r="Z213" s="7"/>
      <c r="AA213" s="10"/>
      <c r="AB213" s="11"/>
      <c r="AC213" s="10"/>
      <c r="AD213" s="12"/>
      <c r="AE213" s="12"/>
      <c r="AF213" s="12"/>
      <c r="AG213" s="7"/>
      <c r="AH213" s="7"/>
      <c r="AI213" s="5" t="s">
        <v>713</v>
      </c>
    </row>
    <row r="214" customFormat="false" ht="15" hidden="false" customHeight="false" outlineLevel="0" collapsed="false">
      <c r="A214" s="5" t="s">
        <v>150</v>
      </c>
      <c r="B214" s="5" t="s">
        <v>714</v>
      </c>
      <c r="C214" s="5" t="s">
        <v>715</v>
      </c>
      <c r="D214" s="5" t="s">
        <v>150</v>
      </c>
      <c r="E214" s="5" t="s">
        <v>60</v>
      </c>
      <c r="F214" s="6" t="n">
        <v>17827.99</v>
      </c>
      <c r="G214" s="7" t="n">
        <v>93</v>
      </c>
      <c r="H214" s="8" t="n">
        <v>-0.1924</v>
      </c>
      <c r="I214" s="8" t="n">
        <v>-0.4464</v>
      </c>
      <c r="J214" s="7" t="n">
        <v>86</v>
      </c>
      <c r="K214" s="5" t="n">
        <v>12</v>
      </c>
      <c r="L214" s="5" t="n">
        <v>45</v>
      </c>
      <c r="M214" s="5" t="n">
        <v>3.9</v>
      </c>
      <c r="N214" s="9" t="s">
        <v>54</v>
      </c>
      <c r="O214" s="5"/>
      <c r="P214" s="5"/>
      <c r="Q214" s="5"/>
      <c r="R214" s="7"/>
      <c r="S214" s="7"/>
      <c r="T214" s="5"/>
      <c r="U214" s="6"/>
      <c r="V214" s="7"/>
      <c r="W214" s="5"/>
      <c r="X214" s="7"/>
      <c r="Y214" s="7"/>
      <c r="Z214" s="7"/>
      <c r="AA214" s="10"/>
      <c r="AB214" s="11"/>
      <c r="AC214" s="10"/>
      <c r="AD214" s="12"/>
      <c r="AE214" s="12"/>
      <c r="AF214" s="12"/>
      <c r="AG214" s="7"/>
      <c r="AH214" s="7"/>
      <c r="AI214" s="5" t="s">
        <v>716</v>
      </c>
    </row>
    <row r="215" customFormat="false" ht="15" hidden="false" customHeight="false" outlineLevel="0" collapsed="false">
      <c r="A215" s="5" t="s">
        <v>150</v>
      </c>
      <c r="B215" s="5" t="s">
        <v>717</v>
      </c>
      <c r="C215" s="5" t="s">
        <v>718</v>
      </c>
      <c r="D215" s="5" t="s">
        <v>150</v>
      </c>
      <c r="E215" s="5" t="s">
        <v>60</v>
      </c>
      <c r="F215" s="6" t="n">
        <v>17606.9</v>
      </c>
      <c r="G215" s="7" t="n">
        <v>410</v>
      </c>
      <c r="H215" s="8" t="n">
        <v>1.6897</v>
      </c>
      <c r="I215" s="8" t="n">
        <v>1.6282</v>
      </c>
      <c r="J215" s="7" t="n">
        <v>212</v>
      </c>
      <c r="K215" s="5" t="n">
        <v>7</v>
      </c>
      <c r="L215" s="5" t="n">
        <v>30</v>
      </c>
      <c r="M215" s="5" t="n">
        <v>4.7</v>
      </c>
      <c r="N215" s="9" t="s">
        <v>54</v>
      </c>
      <c r="O215" s="5"/>
      <c r="P215" s="5" t="s">
        <v>719</v>
      </c>
      <c r="Q215" s="14" t="s">
        <v>720</v>
      </c>
      <c r="R215" s="7" t="n">
        <v>3454</v>
      </c>
      <c r="S215" s="7" t="n">
        <v>213</v>
      </c>
      <c r="T215" s="5" t="s">
        <v>721</v>
      </c>
      <c r="U215" s="6" t="n">
        <v>505969.41</v>
      </c>
      <c r="V215" s="7" t="n">
        <v>15530</v>
      </c>
      <c r="W215" s="5" t="n">
        <v>43</v>
      </c>
      <c r="X215" s="7" t="n">
        <v>1334</v>
      </c>
      <c r="Y215" s="7" t="n">
        <v>3304</v>
      </c>
      <c r="Z215" s="7" t="n">
        <v>670</v>
      </c>
      <c r="AA215" s="10" t="n">
        <v>17.97</v>
      </c>
      <c r="AB215" s="11" t="n">
        <v>403.49</v>
      </c>
      <c r="AC215" s="10" t="n">
        <v>42.82</v>
      </c>
      <c r="AD215" s="12" t="n">
        <v>0.75</v>
      </c>
      <c r="AE215" s="12" t="n">
        <v>0.91</v>
      </c>
      <c r="AF215" s="12" t="n">
        <v>1</v>
      </c>
      <c r="AG215" s="7" t="n">
        <v>54</v>
      </c>
      <c r="AH215" s="7" t="n">
        <v>2471</v>
      </c>
      <c r="AI215" s="5" t="s">
        <v>722</v>
      </c>
    </row>
    <row r="216" customFormat="false" ht="15" hidden="false" customHeight="false" outlineLevel="0" collapsed="false">
      <c r="A216" s="5" t="s">
        <v>150</v>
      </c>
      <c r="B216" s="5" t="s">
        <v>723</v>
      </c>
      <c r="C216" s="5"/>
      <c r="D216" s="5" t="s">
        <v>150</v>
      </c>
      <c r="E216" s="5" t="s">
        <v>60</v>
      </c>
      <c r="F216" s="6" t="n">
        <v>17320.57</v>
      </c>
      <c r="G216" s="7" t="n">
        <v>25</v>
      </c>
      <c r="H216" s="8" t="n">
        <v>2.3887</v>
      </c>
      <c r="I216" s="8" t="n">
        <v>1.7778</v>
      </c>
      <c r="J216" s="7" t="n">
        <v>14</v>
      </c>
      <c r="K216" s="5" t="n">
        <v>8</v>
      </c>
      <c r="L216" s="5" t="n">
        <v>29</v>
      </c>
      <c r="M216" s="5" t="n">
        <v>3.1</v>
      </c>
      <c r="N216" s="9" t="s">
        <v>54</v>
      </c>
      <c r="O216" s="5"/>
      <c r="P216" s="5"/>
      <c r="Q216" s="5"/>
      <c r="R216" s="7"/>
      <c r="S216" s="7"/>
      <c r="T216" s="5"/>
      <c r="U216" s="6"/>
      <c r="V216" s="7"/>
      <c r="W216" s="5"/>
      <c r="X216" s="7"/>
      <c r="Y216" s="7"/>
      <c r="Z216" s="7"/>
      <c r="AA216" s="10"/>
      <c r="AB216" s="11"/>
      <c r="AC216" s="10"/>
      <c r="AD216" s="12"/>
      <c r="AE216" s="12"/>
      <c r="AF216" s="12"/>
      <c r="AG216" s="7"/>
      <c r="AH216" s="7"/>
      <c r="AI216" s="5" t="s">
        <v>724</v>
      </c>
    </row>
    <row r="217" customFormat="false" ht="15" hidden="false" customHeight="false" outlineLevel="0" collapsed="false">
      <c r="A217" s="5" t="s">
        <v>150</v>
      </c>
      <c r="B217" s="5" t="s">
        <v>725</v>
      </c>
      <c r="C217" s="5" t="s">
        <v>726</v>
      </c>
      <c r="D217" s="5" t="s">
        <v>677</v>
      </c>
      <c r="E217" s="5" t="s">
        <v>60</v>
      </c>
      <c r="F217" s="6" t="n">
        <v>14847.34</v>
      </c>
      <c r="G217" s="7" t="n">
        <v>834</v>
      </c>
      <c r="H217" s="8" t="n">
        <v>-0.4952</v>
      </c>
      <c r="I217" s="8" t="n">
        <v>-0.5809</v>
      </c>
      <c r="J217" s="7" t="n">
        <v>130</v>
      </c>
      <c r="K217" s="5" t="n">
        <v>5</v>
      </c>
      <c r="L217" s="5" t="n">
        <v>68</v>
      </c>
      <c r="M217" s="5" t="n">
        <v>4.6</v>
      </c>
      <c r="N217" s="13" t="s">
        <v>61</v>
      </c>
      <c r="O217" s="5"/>
      <c r="P217" s="5"/>
      <c r="Q217" s="5"/>
      <c r="R217" s="7"/>
      <c r="S217" s="7"/>
      <c r="T217" s="5"/>
      <c r="U217" s="6"/>
      <c r="V217" s="7"/>
      <c r="W217" s="5"/>
      <c r="X217" s="7"/>
      <c r="Y217" s="7"/>
      <c r="Z217" s="7"/>
      <c r="AA217" s="10"/>
      <c r="AB217" s="11"/>
      <c r="AC217" s="10"/>
      <c r="AD217" s="12"/>
      <c r="AE217" s="12"/>
      <c r="AF217" s="12"/>
      <c r="AG217" s="7"/>
      <c r="AH217" s="7"/>
      <c r="AI217" s="5" t="s">
        <v>727</v>
      </c>
    </row>
    <row r="218" customFormat="false" ht="15" hidden="false" customHeight="false" outlineLevel="0" collapsed="false">
      <c r="A218" s="5" t="s">
        <v>150</v>
      </c>
      <c r="B218" s="5" t="s">
        <v>728</v>
      </c>
      <c r="C218" s="5" t="s">
        <v>729</v>
      </c>
      <c r="D218" s="5" t="s">
        <v>730</v>
      </c>
      <c r="E218" s="5" t="s">
        <v>60</v>
      </c>
      <c r="F218" s="6" t="n">
        <v>14796.88</v>
      </c>
      <c r="G218" s="7" t="n">
        <v>405</v>
      </c>
      <c r="H218" s="8" t="n">
        <v>-0.2301</v>
      </c>
      <c r="I218" s="8" t="n">
        <v>-0.0264</v>
      </c>
      <c r="J218" s="7" t="n">
        <v>95</v>
      </c>
      <c r="K218" s="5" t="n">
        <v>5</v>
      </c>
      <c r="L218" s="5" t="n">
        <v>559</v>
      </c>
      <c r="M218" s="5" t="n">
        <v>3.6</v>
      </c>
      <c r="N218" s="13" t="s">
        <v>61</v>
      </c>
      <c r="O218" s="5"/>
      <c r="P218" s="5"/>
      <c r="Q218" s="5"/>
      <c r="R218" s="7"/>
      <c r="S218" s="7"/>
      <c r="T218" s="5"/>
      <c r="U218" s="6"/>
      <c r="V218" s="7"/>
      <c r="W218" s="5"/>
      <c r="X218" s="7"/>
      <c r="Y218" s="7"/>
      <c r="Z218" s="7"/>
      <c r="AA218" s="10"/>
      <c r="AB218" s="11"/>
      <c r="AC218" s="10"/>
      <c r="AD218" s="12"/>
      <c r="AE218" s="12"/>
      <c r="AF218" s="12"/>
      <c r="AG218" s="7"/>
      <c r="AH218" s="7"/>
      <c r="AI218" s="5" t="s">
        <v>731</v>
      </c>
    </row>
    <row r="219" customFormat="false" ht="15" hidden="false" customHeight="false" outlineLevel="0" collapsed="false">
      <c r="A219" s="5" t="s">
        <v>150</v>
      </c>
      <c r="B219" s="5" t="s">
        <v>732</v>
      </c>
      <c r="C219" s="5"/>
      <c r="D219" s="5" t="s">
        <v>150</v>
      </c>
      <c r="E219" s="5" t="s">
        <v>60</v>
      </c>
      <c r="F219" s="6" t="n">
        <v>13435.02</v>
      </c>
      <c r="G219" s="7" t="n">
        <v>41</v>
      </c>
      <c r="H219" s="8" t="n">
        <v>-0.5356</v>
      </c>
      <c r="I219" s="8" t="n">
        <v>-0.3971</v>
      </c>
      <c r="J219" s="7" t="n">
        <v>63</v>
      </c>
      <c r="K219" s="5" t="n">
        <v>6</v>
      </c>
      <c r="L219" s="5" t="n">
        <v>9</v>
      </c>
      <c r="M219" s="5" t="n">
        <v>4.1</v>
      </c>
      <c r="N219" s="9" t="s">
        <v>54</v>
      </c>
      <c r="O219" s="5"/>
      <c r="P219" s="5"/>
      <c r="Q219" s="5"/>
      <c r="R219" s="7"/>
      <c r="S219" s="7"/>
      <c r="T219" s="5"/>
      <c r="U219" s="6"/>
      <c r="V219" s="7"/>
      <c r="W219" s="5"/>
      <c r="X219" s="7"/>
      <c r="Y219" s="7"/>
      <c r="Z219" s="7"/>
      <c r="AA219" s="10"/>
      <c r="AB219" s="11"/>
      <c r="AC219" s="10"/>
      <c r="AD219" s="12"/>
      <c r="AE219" s="12"/>
      <c r="AF219" s="12"/>
      <c r="AG219" s="7"/>
      <c r="AH219" s="7"/>
      <c r="AI219" s="5" t="s">
        <v>733</v>
      </c>
    </row>
    <row r="220" customFormat="false" ht="15" hidden="false" customHeight="false" outlineLevel="0" collapsed="false">
      <c r="A220" s="5" t="s">
        <v>150</v>
      </c>
      <c r="B220" s="5" t="s">
        <v>734</v>
      </c>
      <c r="C220" s="5"/>
      <c r="D220" s="5" t="s">
        <v>150</v>
      </c>
      <c r="E220" s="5" t="s">
        <v>60</v>
      </c>
      <c r="F220" s="6" t="n">
        <v>13075.61</v>
      </c>
      <c r="G220" s="7" t="n">
        <v>215</v>
      </c>
      <c r="H220" s="8" t="n">
        <v>-0.3924</v>
      </c>
      <c r="I220" s="8" t="n">
        <v>-0.4386</v>
      </c>
      <c r="J220" s="7" t="n">
        <v>84</v>
      </c>
      <c r="K220" s="5" t="n">
        <v>5</v>
      </c>
      <c r="L220" s="5" t="n">
        <v>1</v>
      </c>
      <c r="M220" s="5" t="n">
        <v>4.3</v>
      </c>
      <c r="N220" s="9" t="s">
        <v>54</v>
      </c>
      <c r="O220" s="5"/>
      <c r="P220" s="5"/>
      <c r="Q220" s="5"/>
      <c r="R220" s="7"/>
      <c r="S220" s="7"/>
      <c r="T220" s="5"/>
      <c r="U220" s="6"/>
      <c r="V220" s="7"/>
      <c r="W220" s="5"/>
      <c r="X220" s="7"/>
      <c r="Y220" s="7"/>
      <c r="Z220" s="7"/>
      <c r="AA220" s="10"/>
      <c r="AB220" s="11"/>
      <c r="AC220" s="10"/>
      <c r="AD220" s="12"/>
      <c r="AE220" s="12"/>
      <c r="AF220" s="12"/>
      <c r="AG220" s="7"/>
      <c r="AH220" s="7"/>
      <c r="AI220" s="5" t="s">
        <v>735</v>
      </c>
    </row>
    <row r="221" customFormat="false" ht="15" hidden="false" customHeight="false" outlineLevel="0" collapsed="false">
      <c r="A221" s="5" t="s">
        <v>150</v>
      </c>
      <c r="B221" s="5" t="s">
        <v>736</v>
      </c>
      <c r="C221" s="5"/>
      <c r="D221" s="5" t="s">
        <v>150</v>
      </c>
      <c r="E221" s="5" t="s">
        <v>60</v>
      </c>
      <c r="F221" s="6" t="n">
        <v>13069.86</v>
      </c>
      <c r="G221" s="7" t="n">
        <v>37</v>
      </c>
      <c r="H221" s="8" t="n">
        <v>-0.4465</v>
      </c>
      <c r="I221" s="8" t="n">
        <v>0.2333</v>
      </c>
      <c r="J221" s="7" t="n">
        <v>120</v>
      </c>
      <c r="K221" s="5" t="n">
        <v>7</v>
      </c>
      <c r="L221" s="5" t="n">
        <v>84</v>
      </c>
      <c r="M221" s="5" t="n">
        <v>2.7</v>
      </c>
      <c r="N221" s="9" t="s">
        <v>54</v>
      </c>
      <c r="O221" s="5"/>
      <c r="P221" s="5"/>
      <c r="Q221" s="5"/>
      <c r="R221" s="7"/>
      <c r="S221" s="7"/>
      <c r="T221" s="5"/>
      <c r="U221" s="6"/>
      <c r="V221" s="7"/>
      <c r="W221" s="5"/>
      <c r="X221" s="7"/>
      <c r="Y221" s="7"/>
      <c r="Z221" s="7"/>
      <c r="AA221" s="10"/>
      <c r="AB221" s="11"/>
      <c r="AC221" s="10"/>
      <c r="AD221" s="12"/>
      <c r="AE221" s="12"/>
      <c r="AF221" s="12"/>
      <c r="AG221" s="7"/>
      <c r="AH221" s="7"/>
      <c r="AI221" s="5" t="s">
        <v>737</v>
      </c>
    </row>
    <row r="222" customFormat="false" ht="15" hidden="false" customHeight="false" outlineLevel="0" collapsed="false">
      <c r="A222" s="5" t="s">
        <v>150</v>
      </c>
      <c r="B222" s="5" t="s">
        <v>738</v>
      </c>
      <c r="C222" s="5" t="s">
        <v>739</v>
      </c>
      <c r="D222" s="5" t="s">
        <v>150</v>
      </c>
      <c r="E222" s="5" t="s">
        <v>60</v>
      </c>
      <c r="F222" s="6" t="n">
        <v>13027.59</v>
      </c>
      <c r="G222" s="7" t="n">
        <v>71</v>
      </c>
      <c r="H222" s="8" t="n">
        <v>-0.1879</v>
      </c>
      <c r="I222" s="8" t="n">
        <v>-0.1839</v>
      </c>
      <c r="J222" s="7" t="n">
        <v>9</v>
      </c>
      <c r="K222" s="5" t="n">
        <v>18</v>
      </c>
      <c r="L222" s="5" t="n">
        <v>116</v>
      </c>
      <c r="M222" s="5" t="n">
        <v>3.1</v>
      </c>
      <c r="N222" s="9" t="s">
        <v>54</v>
      </c>
      <c r="O222" s="5"/>
      <c r="P222" s="5"/>
      <c r="Q222" s="5"/>
      <c r="R222" s="7"/>
      <c r="S222" s="7"/>
      <c r="T222" s="5"/>
      <c r="U222" s="6"/>
      <c r="V222" s="7"/>
      <c r="W222" s="5"/>
      <c r="X222" s="7"/>
      <c r="Y222" s="7"/>
      <c r="Z222" s="7"/>
      <c r="AA222" s="10"/>
      <c r="AB222" s="11"/>
      <c r="AC222" s="10"/>
      <c r="AD222" s="12"/>
      <c r="AE222" s="12"/>
      <c r="AF222" s="12"/>
      <c r="AG222" s="7"/>
      <c r="AH222" s="7"/>
      <c r="AI222" s="5" t="s">
        <v>740</v>
      </c>
    </row>
    <row r="223" customFormat="false" ht="15" hidden="false" customHeight="false" outlineLevel="0" collapsed="false">
      <c r="A223" s="5" t="s">
        <v>150</v>
      </c>
      <c r="B223" s="5" t="s">
        <v>741</v>
      </c>
      <c r="C223" s="5" t="s">
        <v>742</v>
      </c>
      <c r="D223" s="5" t="s">
        <v>150</v>
      </c>
      <c r="E223" s="5" t="s">
        <v>53</v>
      </c>
      <c r="F223" s="6" t="n">
        <v>12970.56</v>
      </c>
      <c r="G223" s="7" t="n">
        <v>102</v>
      </c>
      <c r="H223" s="8" t="n">
        <v>-0.5929</v>
      </c>
      <c r="I223" s="8" t="n">
        <v>-0.7418</v>
      </c>
      <c r="J223" s="7" t="n">
        <v>135</v>
      </c>
      <c r="K223" s="5" t="n">
        <v>16</v>
      </c>
      <c r="L223" s="5" t="n">
        <v>131</v>
      </c>
      <c r="M223" s="5" t="n">
        <v>2.3</v>
      </c>
      <c r="N223" s="9" t="s">
        <v>54</v>
      </c>
      <c r="O223" s="5"/>
      <c r="P223" s="5"/>
      <c r="Q223" s="5"/>
      <c r="R223" s="7"/>
      <c r="S223" s="7"/>
      <c r="T223" s="5"/>
      <c r="U223" s="6"/>
      <c r="V223" s="7"/>
      <c r="W223" s="5"/>
      <c r="X223" s="7"/>
      <c r="Y223" s="7"/>
      <c r="Z223" s="7"/>
      <c r="AA223" s="10"/>
      <c r="AB223" s="11"/>
      <c r="AC223" s="10"/>
      <c r="AD223" s="12"/>
      <c r="AE223" s="12"/>
      <c r="AF223" s="12"/>
      <c r="AG223" s="7"/>
      <c r="AH223" s="7"/>
      <c r="AI223" s="5" t="s">
        <v>743</v>
      </c>
    </row>
    <row r="224" customFormat="false" ht="15" hidden="false" customHeight="false" outlineLevel="0" collapsed="false">
      <c r="A224" s="5" t="s">
        <v>150</v>
      </c>
      <c r="B224" s="5" t="s">
        <v>744</v>
      </c>
      <c r="C224" s="5"/>
      <c r="D224" s="5" t="s">
        <v>150</v>
      </c>
      <c r="E224" s="5" t="s">
        <v>53</v>
      </c>
      <c r="F224" s="6" t="n">
        <v>12282.78</v>
      </c>
      <c r="G224" s="7" t="n">
        <v>92</v>
      </c>
      <c r="H224" s="8" t="n">
        <v>-0.3649</v>
      </c>
      <c r="I224" s="8" t="n">
        <v>-0.3429</v>
      </c>
      <c r="J224" s="7" t="n">
        <v>86</v>
      </c>
      <c r="K224" s="5" t="n">
        <v>17</v>
      </c>
      <c r="L224" s="5" t="n">
        <v>45</v>
      </c>
      <c r="M224" s="5" t="n">
        <v>3.9</v>
      </c>
      <c r="N224" s="9" t="s">
        <v>54</v>
      </c>
      <c r="O224" s="5"/>
      <c r="P224" s="5"/>
      <c r="Q224" s="5"/>
      <c r="R224" s="7"/>
      <c r="S224" s="7"/>
      <c r="T224" s="5"/>
      <c r="U224" s="6"/>
      <c r="V224" s="7"/>
      <c r="W224" s="5"/>
      <c r="X224" s="7"/>
      <c r="Y224" s="7"/>
      <c r="Z224" s="7"/>
      <c r="AA224" s="10"/>
      <c r="AB224" s="11"/>
      <c r="AC224" s="10"/>
      <c r="AD224" s="12"/>
      <c r="AE224" s="12"/>
      <c r="AF224" s="12"/>
      <c r="AG224" s="7"/>
      <c r="AH224" s="7"/>
      <c r="AI224" s="5" t="s">
        <v>745</v>
      </c>
    </row>
    <row r="225" customFormat="false" ht="15" hidden="false" customHeight="false" outlineLevel="0" collapsed="false">
      <c r="A225" s="5" t="s">
        <v>269</v>
      </c>
      <c r="B225" s="5" t="s">
        <v>746</v>
      </c>
      <c r="C225" s="5" t="s">
        <v>747</v>
      </c>
      <c r="D225" s="5" t="s">
        <v>581</v>
      </c>
      <c r="E225" s="5" t="s">
        <v>60</v>
      </c>
      <c r="F225" s="6" t="n">
        <v>19638.79</v>
      </c>
      <c r="G225" s="7" t="n">
        <v>713</v>
      </c>
      <c r="H225" s="8" t="n">
        <v>-0.1496</v>
      </c>
      <c r="I225" s="8" t="n">
        <v>-0.187</v>
      </c>
      <c r="J225" s="7" t="n">
        <v>648</v>
      </c>
      <c r="K225" s="5" t="n">
        <v>11</v>
      </c>
      <c r="L225" s="5" t="n">
        <v>38</v>
      </c>
      <c r="M225" s="5" t="n">
        <v>4.6</v>
      </c>
      <c r="N225" s="13" t="s">
        <v>61</v>
      </c>
      <c r="O225" s="5"/>
      <c r="P225" s="5"/>
      <c r="Q225" s="5"/>
      <c r="R225" s="7"/>
      <c r="S225" s="7"/>
      <c r="T225" s="5"/>
      <c r="U225" s="6"/>
      <c r="V225" s="7"/>
      <c r="W225" s="5"/>
      <c r="X225" s="7"/>
      <c r="Y225" s="7"/>
      <c r="Z225" s="7"/>
      <c r="AA225" s="10"/>
      <c r="AB225" s="11"/>
      <c r="AC225" s="10"/>
      <c r="AD225" s="12"/>
      <c r="AE225" s="12"/>
      <c r="AF225" s="12"/>
      <c r="AG225" s="7"/>
      <c r="AH225" s="7"/>
      <c r="AI225" s="5" t="s">
        <v>748</v>
      </c>
    </row>
    <row r="226" customFormat="false" ht="15" hidden="false" customHeight="false" outlineLevel="0" collapsed="false">
      <c r="A226" s="5" t="s">
        <v>269</v>
      </c>
      <c r="B226" s="5" t="s">
        <v>749</v>
      </c>
      <c r="C226" s="5" t="s">
        <v>750</v>
      </c>
      <c r="D226" s="5" t="s">
        <v>269</v>
      </c>
      <c r="E226" s="5" t="s">
        <v>60</v>
      </c>
      <c r="F226" s="6" t="n">
        <v>19505.81</v>
      </c>
      <c r="G226" s="7" t="n">
        <v>501</v>
      </c>
      <c r="H226" s="8" t="n">
        <v>0.0884</v>
      </c>
      <c r="I226" s="8" t="n">
        <v>-0.0272</v>
      </c>
      <c r="J226" s="7" t="n">
        <v>1313</v>
      </c>
      <c r="K226" s="5" t="n">
        <v>35</v>
      </c>
      <c r="L226" s="5" t="n">
        <v>69</v>
      </c>
      <c r="M226" s="5" t="n">
        <v>4.6</v>
      </c>
      <c r="N226" s="9" t="s">
        <v>54</v>
      </c>
      <c r="O226" s="5"/>
      <c r="P226" s="5" t="s">
        <v>751</v>
      </c>
      <c r="Q226" s="14" t="s">
        <v>752</v>
      </c>
      <c r="R226" s="7" t="n">
        <v>13650</v>
      </c>
      <c r="S226" s="7" t="n">
        <v>1077</v>
      </c>
      <c r="T226" s="5" t="s">
        <v>753</v>
      </c>
      <c r="U226" s="6" t="n">
        <v>591978.49</v>
      </c>
      <c r="V226" s="7" t="n">
        <v>27314</v>
      </c>
      <c r="W226" s="5" t="n">
        <v>100</v>
      </c>
      <c r="X226" s="7" t="n">
        <v>2530</v>
      </c>
      <c r="Y226" s="7" t="n">
        <v>9779</v>
      </c>
      <c r="Z226" s="7" t="n">
        <v>1353</v>
      </c>
      <c r="AA226" s="10" t="n">
        <v>3.57</v>
      </c>
      <c r="AB226" s="11" t="n">
        <v>129.99</v>
      </c>
      <c r="AC226" s="10" t="n">
        <v>26.48</v>
      </c>
      <c r="AD226" s="12" t="n">
        <v>0.83</v>
      </c>
      <c r="AE226" s="12" t="n">
        <v>0.92</v>
      </c>
      <c r="AF226" s="12" t="n">
        <v>1</v>
      </c>
      <c r="AG226" s="7" t="n">
        <v>88</v>
      </c>
      <c r="AH226" s="7" t="n">
        <v>1677</v>
      </c>
      <c r="AI226" s="5" t="s">
        <v>754</v>
      </c>
    </row>
    <row r="227" customFormat="false" ht="15" hidden="false" customHeight="false" outlineLevel="0" collapsed="false">
      <c r="A227" s="5" t="s">
        <v>269</v>
      </c>
      <c r="B227" s="5" t="s">
        <v>755</v>
      </c>
      <c r="C227" s="5" t="s">
        <v>756</v>
      </c>
      <c r="D227" s="5" t="s">
        <v>269</v>
      </c>
      <c r="E227" s="5" t="s">
        <v>60</v>
      </c>
      <c r="F227" s="6" t="n">
        <v>19389.93</v>
      </c>
      <c r="G227" s="7" t="n">
        <v>544</v>
      </c>
      <c r="H227" s="8" t="n">
        <v>-0.1798</v>
      </c>
      <c r="I227" s="8" t="n">
        <v>-0.3079</v>
      </c>
      <c r="J227" s="7" t="n">
        <v>196</v>
      </c>
      <c r="K227" s="5" t="n">
        <v>5</v>
      </c>
      <c r="L227" s="5" t="n">
        <v>8</v>
      </c>
      <c r="M227" s="5" t="n">
        <v>4.5</v>
      </c>
      <c r="N227" s="9" t="s">
        <v>54</v>
      </c>
      <c r="O227" s="5"/>
      <c r="P227" s="5"/>
      <c r="Q227" s="5"/>
      <c r="R227" s="7"/>
      <c r="S227" s="7"/>
      <c r="T227" s="5"/>
      <c r="U227" s="6"/>
      <c r="V227" s="7"/>
      <c r="W227" s="5"/>
      <c r="X227" s="7"/>
      <c r="Y227" s="7"/>
      <c r="Z227" s="7"/>
      <c r="AA227" s="10"/>
      <c r="AB227" s="11"/>
      <c r="AC227" s="10"/>
      <c r="AD227" s="12"/>
      <c r="AE227" s="12"/>
      <c r="AF227" s="12"/>
      <c r="AG227" s="7"/>
      <c r="AH227" s="7"/>
      <c r="AI227" s="5" t="s">
        <v>757</v>
      </c>
    </row>
    <row r="228" customFormat="false" ht="15" hidden="false" customHeight="false" outlineLevel="0" collapsed="false">
      <c r="A228" s="5" t="s">
        <v>269</v>
      </c>
      <c r="B228" s="5" t="s">
        <v>758</v>
      </c>
      <c r="C228" s="5"/>
      <c r="D228" s="5" t="s">
        <v>269</v>
      </c>
      <c r="E228" s="5" t="s">
        <v>60</v>
      </c>
      <c r="F228" s="6" t="n">
        <v>19096.1</v>
      </c>
      <c r="G228" s="7" t="n">
        <v>1603</v>
      </c>
      <c r="H228" s="8" t="n">
        <v>-0.2196</v>
      </c>
      <c r="I228" s="8" t="n">
        <v>-0.273</v>
      </c>
      <c r="J228" s="7" t="n">
        <v>341</v>
      </c>
      <c r="K228" s="5" t="n">
        <v>43</v>
      </c>
      <c r="L228" s="5" t="n">
        <v>43</v>
      </c>
      <c r="M228" s="5" t="n">
        <v>3.8</v>
      </c>
      <c r="N228" s="9" t="s">
        <v>54</v>
      </c>
      <c r="O228" s="5"/>
      <c r="P228" s="5"/>
      <c r="Q228" s="5"/>
      <c r="R228" s="7"/>
      <c r="S228" s="7"/>
      <c r="T228" s="5"/>
      <c r="U228" s="6"/>
      <c r="V228" s="7"/>
      <c r="W228" s="5"/>
      <c r="X228" s="7"/>
      <c r="Y228" s="7"/>
      <c r="Z228" s="7"/>
      <c r="AA228" s="10"/>
      <c r="AB228" s="11"/>
      <c r="AC228" s="10"/>
      <c r="AD228" s="12"/>
      <c r="AE228" s="12"/>
      <c r="AF228" s="12"/>
      <c r="AG228" s="7"/>
      <c r="AH228" s="7"/>
      <c r="AI228" s="5" t="s">
        <v>759</v>
      </c>
    </row>
    <row r="229" customFormat="false" ht="15" hidden="false" customHeight="false" outlineLevel="0" collapsed="false">
      <c r="A229" s="5" t="s">
        <v>269</v>
      </c>
      <c r="B229" s="5" t="s">
        <v>760</v>
      </c>
      <c r="C229" s="5" t="s">
        <v>761</v>
      </c>
      <c r="D229" s="5" t="s">
        <v>269</v>
      </c>
      <c r="E229" s="5" t="s">
        <v>60</v>
      </c>
      <c r="F229" s="6" t="n">
        <v>18686.95</v>
      </c>
      <c r="G229" s="7" t="n">
        <v>452</v>
      </c>
      <c r="H229" s="8" t="n">
        <v>0.237</v>
      </c>
      <c r="I229" s="8" t="n">
        <v>0.0892</v>
      </c>
      <c r="J229" s="7" t="n">
        <v>709</v>
      </c>
      <c r="K229" s="5" t="n">
        <v>6</v>
      </c>
      <c r="L229" s="5" t="n">
        <v>11</v>
      </c>
      <c r="M229" s="5" t="n">
        <v>3.8</v>
      </c>
      <c r="N229" s="9" t="s">
        <v>54</v>
      </c>
      <c r="O229" s="5"/>
      <c r="P229" s="5"/>
      <c r="Q229" s="5"/>
      <c r="R229" s="7"/>
      <c r="S229" s="7"/>
      <c r="T229" s="5"/>
      <c r="U229" s="6"/>
      <c r="V229" s="7"/>
      <c r="W229" s="5"/>
      <c r="X229" s="7"/>
      <c r="Y229" s="7"/>
      <c r="Z229" s="7"/>
      <c r="AA229" s="10"/>
      <c r="AB229" s="11"/>
      <c r="AC229" s="10"/>
      <c r="AD229" s="12"/>
      <c r="AE229" s="12"/>
      <c r="AF229" s="12"/>
      <c r="AG229" s="7"/>
      <c r="AH229" s="7"/>
      <c r="AI229" s="5" t="s">
        <v>762</v>
      </c>
    </row>
    <row r="230" customFormat="false" ht="15" hidden="false" customHeight="false" outlineLevel="0" collapsed="false">
      <c r="A230" s="5" t="s">
        <v>269</v>
      </c>
      <c r="B230" s="5" t="s">
        <v>763</v>
      </c>
      <c r="C230" s="5" t="s">
        <v>764</v>
      </c>
      <c r="D230" s="5" t="s">
        <v>269</v>
      </c>
      <c r="E230" s="5" t="s">
        <v>60</v>
      </c>
      <c r="F230" s="6" t="n">
        <v>18309.59</v>
      </c>
      <c r="G230" s="7" t="n">
        <v>427</v>
      </c>
      <c r="H230" s="8" t="n">
        <v>0.7584</v>
      </c>
      <c r="I230" s="8" t="n">
        <v>0.5305</v>
      </c>
      <c r="J230" s="7" t="n">
        <v>180</v>
      </c>
      <c r="K230" s="5" t="n">
        <v>5</v>
      </c>
      <c r="L230" s="5" t="n">
        <v>5</v>
      </c>
      <c r="M230" s="5" t="n">
        <v>4.5</v>
      </c>
      <c r="N230" s="9" t="s">
        <v>54</v>
      </c>
      <c r="O230" s="5"/>
      <c r="P230" s="5"/>
      <c r="Q230" s="5"/>
      <c r="R230" s="7"/>
      <c r="S230" s="7"/>
      <c r="T230" s="5"/>
      <c r="U230" s="6"/>
      <c r="V230" s="7"/>
      <c r="W230" s="5"/>
      <c r="X230" s="7"/>
      <c r="Y230" s="7"/>
      <c r="Z230" s="7"/>
      <c r="AA230" s="10"/>
      <c r="AB230" s="11"/>
      <c r="AC230" s="10"/>
      <c r="AD230" s="12"/>
      <c r="AE230" s="12"/>
      <c r="AF230" s="12"/>
      <c r="AG230" s="7"/>
      <c r="AH230" s="7"/>
      <c r="AI230" s="5" t="s">
        <v>765</v>
      </c>
    </row>
    <row r="231" customFormat="false" ht="15" hidden="false" customHeight="false" outlineLevel="0" collapsed="false">
      <c r="A231" s="5" t="s">
        <v>269</v>
      </c>
      <c r="B231" s="5" t="s">
        <v>766</v>
      </c>
      <c r="C231" s="5" t="s">
        <v>767</v>
      </c>
      <c r="D231" s="5" t="s">
        <v>269</v>
      </c>
      <c r="E231" s="5" t="s">
        <v>60</v>
      </c>
      <c r="F231" s="6" t="n">
        <v>17883.12</v>
      </c>
      <c r="G231" s="7" t="n">
        <v>477</v>
      </c>
      <c r="H231" s="8" t="n">
        <v>66.8198</v>
      </c>
      <c r="I231" s="8" t="n">
        <v>78.5</v>
      </c>
      <c r="J231" s="7" t="n">
        <v>852</v>
      </c>
      <c r="K231" s="5" t="n">
        <v>5</v>
      </c>
      <c r="L231" s="5" t="n">
        <v>9</v>
      </c>
      <c r="M231" s="5" t="n">
        <v>4.6</v>
      </c>
      <c r="N231" s="9" t="s">
        <v>54</v>
      </c>
      <c r="O231" s="5"/>
      <c r="P231" s="5" t="s">
        <v>768</v>
      </c>
      <c r="Q231" s="14" t="s">
        <v>769</v>
      </c>
      <c r="R231" s="7" t="n">
        <v>1203</v>
      </c>
      <c r="S231" s="7" t="n">
        <v>261</v>
      </c>
      <c r="T231" s="5" t="s">
        <v>770</v>
      </c>
      <c r="U231" s="6" t="n">
        <v>47819.27</v>
      </c>
      <c r="V231" s="7" t="n">
        <v>2536</v>
      </c>
      <c r="W231" s="5" t="n">
        <v>10</v>
      </c>
      <c r="X231" s="7" t="n">
        <v>347</v>
      </c>
      <c r="Y231" s="7" t="n">
        <v>2265</v>
      </c>
      <c r="Z231" s="7" t="n">
        <v>113</v>
      </c>
      <c r="AA231" s="10" t="n">
        <v>14.99</v>
      </c>
      <c r="AB231" s="11" t="n">
        <v>74.97</v>
      </c>
      <c r="AC231" s="10" t="n">
        <v>20.78</v>
      </c>
      <c r="AD231" s="12"/>
      <c r="AE231" s="12"/>
      <c r="AF231" s="12"/>
      <c r="AG231" s="7" t="n">
        <v>112</v>
      </c>
      <c r="AH231" s="7" t="n">
        <v>2435</v>
      </c>
      <c r="AI231" s="5" t="s">
        <v>771</v>
      </c>
    </row>
    <row r="232" customFormat="false" ht="15" hidden="false" customHeight="false" outlineLevel="0" collapsed="false">
      <c r="A232" s="5" t="s">
        <v>269</v>
      </c>
      <c r="B232" s="5" t="s">
        <v>772</v>
      </c>
      <c r="C232" s="5" t="s">
        <v>772</v>
      </c>
      <c r="D232" s="5" t="s">
        <v>269</v>
      </c>
      <c r="E232" s="5" t="s">
        <v>60</v>
      </c>
      <c r="F232" s="6" t="n">
        <v>17411.96</v>
      </c>
      <c r="G232" s="7" t="n">
        <v>365</v>
      </c>
      <c r="H232" s="8" t="n">
        <v>0.2112</v>
      </c>
      <c r="I232" s="8" t="n">
        <v>0.0896</v>
      </c>
      <c r="J232" s="7" t="n">
        <v>69</v>
      </c>
      <c r="K232" s="5" t="n">
        <v>6</v>
      </c>
      <c r="L232" s="5" t="n">
        <v>10</v>
      </c>
      <c r="M232" s="5" t="n">
        <v>4.4</v>
      </c>
      <c r="N232" s="9" t="s">
        <v>54</v>
      </c>
      <c r="O232" s="5"/>
      <c r="P232" s="5"/>
      <c r="Q232" s="5"/>
      <c r="R232" s="7"/>
      <c r="S232" s="7"/>
      <c r="T232" s="5"/>
      <c r="U232" s="6"/>
      <c r="V232" s="7"/>
      <c r="W232" s="5"/>
      <c r="X232" s="7"/>
      <c r="Y232" s="7"/>
      <c r="Z232" s="7"/>
      <c r="AA232" s="10"/>
      <c r="AB232" s="11"/>
      <c r="AC232" s="10"/>
      <c r="AD232" s="12"/>
      <c r="AE232" s="12"/>
      <c r="AF232" s="12"/>
      <c r="AG232" s="7"/>
      <c r="AH232" s="7"/>
      <c r="AI232" s="5" t="s">
        <v>773</v>
      </c>
    </row>
    <row r="233" customFormat="false" ht="15" hidden="false" customHeight="false" outlineLevel="0" collapsed="false">
      <c r="A233" s="5" t="s">
        <v>269</v>
      </c>
      <c r="B233" s="5" t="s">
        <v>774</v>
      </c>
      <c r="C233" s="5" t="s">
        <v>775</v>
      </c>
      <c r="D233" s="5" t="s">
        <v>138</v>
      </c>
      <c r="E233" s="5" t="s">
        <v>60</v>
      </c>
      <c r="F233" s="6" t="n">
        <v>17159.68</v>
      </c>
      <c r="G233" s="7" t="n">
        <v>301</v>
      </c>
      <c r="H233" s="8" t="n">
        <v>0.1404</v>
      </c>
      <c r="I233" s="8" t="n">
        <v>0.0524</v>
      </c>
      <c r="J233" s="7" t="n">
        <v>145</v>
      </c>
      <c r="K233" s="5" t="n">
        <v>1</v>
      </c>
      <c r="L233" s="5" t="n">
        <v>69</v>
      </c>
      <c r="M233" s="5" t="n">
        <v>4.5</v>
      </c>
      <c r="N233" s="13" t="s">
        <v>61</v>
      </c>
      <c r="O233" s="5"/>
      <c r="P233" s="5"/>
      <c r="Q233" s="5"/>
      <c r="R233" s="7"/>
      <c r="S233" s="7"/>
      <c r="T233" s="5"/>
      <c r="U233" s="6"/>
      <c r="V233" s="7"/>
      <c r="W233" s="5"/>
      <c r="X233" s="7"/>
      <c r="Y233" s="7"/>
      <c r="Z233" s="7"/>
      <c r="AA233" s="10"/>
      <c r="AB233" s="11"/>
      <c r="AC233" s="10"/>
      <c r="AD233" s="12"/>
      <c r="AE233" s="12"/>
      <c r="AF233" s="12"/>
      <c r="AG233" s="7"/>
      <c r="AH233" s="7"/>
      <c r="AI233" s="5" t="s">
        <v>776</v>
      </c>
    </row>
    <row r="234" customFormat="false" ht="15" hidden="false" customHeight="false" outlineLevel="0" collapsed="false">
      <c r="A234" s="5" t="s">
        <v>269</v>
      </c>
      <c r="B234" s="5" t="s">
        <v>777</v>
      </c>
      <c r="C234" s="5"/>
      <c r="D234" s="5" t="s">
        <v>269</v>
      </c>
      <c r="E234" s="5" t="s">
        <v>60</v>
      </c>
      <c r="F234" s="6" t="n">
        <v>17051.44</v>
      </c>
      <c r="G234" s="7" t="n">
        <v>620</v>
      </c>
      <c r="H234" s="8" t="n">
        <v>1.6307</v>
      </c>
      <c r="I234" s="8" t="n">
        <v>1.3485</v>
      </c>
      <c r="J234" s="7" t="n">
        <v>53</v>
      </c>
      <c r="K234" s="5" t="n">
        <v>1</v>
      </c>
      <c r="L234" s="5" t="n">
        <v>1</v>
      </c>
      <c r="M234" s="5" t="n">
        <v>4.5</v>
      </c>
      <c r="N234" s="9" t="s">
        <v>54</v>
      </c>
      <c r="O234" s="5"/>
      <c r="P234" s="5"/>
      <c r="Q234" s="5"/>
      <c r="R234" s="7"/>
      <c r="S234" s="7"/>
      <c r="T234" s="5"/>
      <c r="U234" s="6"/>
      <c r="V234" s="7"/>
      <c r="W234" s="5"/>
      <c r="X234" s="7"/>
      <c r="Y234" s="7"/>
      <c r="Z234" s="7"/>
      <c r="AA234" s="10"/>
      <c r="AB234" s="11"/>
      <c r="AC234" s="10"/>
      <c r="AD234" s="12"/>
      <c r="AE234" s="12"/>
      <c r="AF234" s="12"/>
      <c r="AG234" s="7"/>
      <c r="AH234" s="7"/>
      <c r="AI234" s="5" t="s">
        <v>778</v>
      </c>
    </row>
    <row r="235" customFormat="false" ht="15" hidden="false" customHeight="false" outlineLevel="0" collapsed="false">
      <c r="A235" s="5" t="s">
        <v>269</v>
      </c>
      <c r="B235" s="5" t="s">
        <v>779</v>
      </c>
      <c r="C235" s="5" t="s">
        <v>780</v>
      </c>
      <c r="D235" s="5" t="s">
        <v>269</v>
      </c>
      <c r="E235" s="5" t="s">
        <v>60</v>
      </c>
      <c r="F235" s="6" t="n">
        <v>16850.42</v>
      </c>
      <c r="G235" s="7" t="n">
        <v>266</v>
      </c>
      <c r="H235" s="8" t="n">
        <v>0.6323</v>
      </c>
      <c r="I235" s="8" t="n">
        <v>-0.0466</v>
      </c>
      <c r="J235" s="7" t="n">
        <v>17</v>
      </c>
      <c r="K235" s="5" t="n">
        <v>18</v>
      </c>
      <c r="L235" s="5" t="n">
        <v>193</v>
      </c>
      <c r="M235" s="5" t="n">
        <v>4.4</v>
      </c>
      <c r="N235" s="9" t="s">
        <v>54</v>
      </c>
      <c r="O235" s="5"/>
      <c r="P235" s="5"/>
      <c r="Q235" s="5"/>
      <c r="R235" s="7"/>
      <c r="S235" s="7"/>
      <c r="T235" s="5"/>
      <c r="U235" s="6"/>
      <c r="V235" s="7"/>
      <c r="W235" s="5"/>
      <c r="X235" s="7"/>
      <c r="Y235" s="7"/>
      <c r="Z235" s="7"/>
      <c r="AA235" s="10"/>
      <c r="AB235" s="11"/>
      <c r="AC235" s="10"/>
      <c r="AD235" s="12"/>
      <c r="AE235" s="12"/>
      <c r="AF235" s="12"/>
      <c r="AG235" s="7"/>
      <c r="AH235" s="7"/>
      <c r="AI235" s="5" t="s">
        <v>781</v>
      </c>
    </row>
    <row r="236" customFormat="false" ht="15" hidden="false" customHeight="false" outlineLevel="0" collapsed="false">
      <c r="A236" s="5" t="s">
        <v>269</v>
      </c>
      <c r="B236" s="5" t="s">
        <v>782</v>
      </c>
      <c r="C236" s="5" t="s">
        <v>783</v>
      </c>
      <c r="D236" s="5" t="s">
        <v>269</v>
      </c>
      <c r="E236" s="5" t="s">
        <v>60</v>
      </c>
      <c r="F236" s="6" t="n">
        <v>16807.32</v>
      </c>
      <c r="G236" s="7" t="n">
        <v>618</v>
      </c>
      <c r="H236" s="8" t="n">
        <v>-0.0123</v>
      </c>
      <c r="I236" s="8" t="n">
        <v>-0.1953</v>
      </c>
      <c r="J236" s="7" t="n">
        <v>966</v>
      </c>
      <c r="K236" s="5" t="n">
        <v>31</v>
      </c>
      <c r="L236" s="5" t="n">
        <v>60</v>
      </c>
      <c r="M236" s="5" t="n">
        <v>4.6</v>
      </c>
      <c r="N236" s="9" t="s">
        <v>54</v>
      </c>
      <c r="O236" s="5"/>
      <c r="P236" s="5" t="s">
        <v>784</v>
      </c>
      <c r="Q236" s="14" t="s">
        <v>785</v>
      </c>
      <c r="R236" s="7" t="n">
        <v>50392</v>
      </c>
      <c r="S236" s="7" t="n">
        <v>1329</v>
      </c>
      <c r="T236" s="5" t="s">
        <v>786</v>
      </c>
      <c r="U236" s="6" t="n">
        <v>1629734.86</v>
      </c>
      <c r="V236" s="7" t="n">
        <v>137762</v>
      </c>
      <c r="W236" s="5" t="n">
        <v>164</v>
      </c>
      <c r="X236" s="7" t="n">
        <v>1934</v>
      </c>
      <c r="Y236" s="7" t="n">
        <v>3823</v>
      </c>
      <c r="Z236" s="7" t="n">
        <v>3675</v>
      </c>
      <c r="AA236" s="10" t="n">
        <v>1.99</v>
      </c>
      <c r="AB236" s="11" t="n">
        <v>186.66</v>
      </c>
      <c r="AC236" s="10" t="n">
        <v>15.52</v>
      </c>
      <c r="AD236" s="12" t="n">
        <v>0.76</v>
      </c>
      <c r="AE236" s="12" t="n">
        <v>0.92</v>
      </c>
      <c r="AF236" s="12" t="n">
        <v>0.98</v>
      </c>
      <c r="AG236" s="7" t="n">
        <v>98</v>
      </c>
      <c r="AH236" s="7" t="n">
        <v>1991</v>
      </c>
      <c r="AI236" s="5" t="s">
        <v>787</v>
      </c>
    </row>
    <row r="237" customFormat="false" ht="15" hidden="false" customHeight="false" outlineLevel="0" collapsed="false">
      <c r="A237" s="5" t="s">
        <v>269</v>
      </c>
      <c r="B237" s="5" t="s">
        <v>788</v>
      </c>
      <c r="C237" s="5"/>
      <c r="D237" s="5" t="s">
        <v>269</v>
      </c>
      <c r="E237" s="5" t="s">
        <v>60</v>
      </c>
      <c r="F237" s="6" t="n">
        <v>16745.49</v>
      </c>
      <c r="G237" s="7" t="n">
        <v>1042</v>
      </c>
      <c r="H237" s="8" t="n">
        <v>-0.0608</v>
      </c>
      <c r="I237" s="8" t="n">
        <v>-0.1535</v>
      </c>
      <c r="J237" s="7" t="n">
        <v>29</v>
      </c>
      <c r="K237" s="5" t="n">
        <v>12</v>
      </c>
      <c r="L237" s="5" t="n">
        <v>19</v>
      </c>
      <c r="M237" s="5" t="n">
        <v>4.7</v>
      </c>
      <c r="N237" s="9" t="s">
        <v>54</v>
      </c>
      <c r="O237" s="5"/>
      <c r="P237" s="5"/>
      <c r="Q237" s="5"/>
      <c r="R237" s="7"/>
      <c r="S237" s="7"/>
      <c r="T237" s="5"/>
      <c r="U237" s="6"/>
      <c r="V237" s="7"/>
      <c r="W237" s="5"/>
      <c r="X237" s="7"/>
      <c r="Y237" s="7"/>
      <c r="Z237" s="7"/>
      <c r="AA237" s="10"/>
      <c r="AB237" s="11"/>
      <c r="AC237" s="10"/>
      <c r="AD237" s="12"/>
      <c r="AE237" s="12"/>
      <c r="AF237" s="12"/>
      <c r="AG237" s="7"/>
      <c r="AH237" s="7"/>
      <c r="AI237" s="5" t="s">
        <v>789</v>
      </c>
    </row>
    <row r="238" customFormat="false" ht="15" hidden="false" customHeight="false" outlineLevel="0" collapsed="false">
      <c r="A238" s="5" t="s">
        <v>269</v>
      </c>
      <c r="B238" s="5" t="s">
        <v>790</v>
      </c>
      <c r="C238" s="5" t="s">
        <v>791</v>
      </c>
      <c r="D238" s="5" t="s">
        <v>269</v>
      </c>
      <c r="E238" s="5" t="s">
        <v>60</v>
      </c>
      <c r="F238" s="6" t="n">
        <v>16530.99</v>
      </c>
      <c r="G238" s="7" t="n">
        <v>926</v>
      </c>
      <c r="H238" s="8" t="n">
        <v>-0.2304</v>
      </c>
      <c r="I238" s="8" t="n">
        <v>-0.2754</v>
      </c>
      <c r="J238" s="7" t="n">
        <v>816</v>
      </c>
      <c r="K238" s="5" t="n">
        <v>16</v>
      </c>
      <c r="L238" s="5" t="n">
        <v>17</v>
      </c>
      <c r="M238" s="5" t="n">
        <v>4.5</v>
      </c>
      <c r="N238" s="9" t="s">
        <v>54</v>
      </c>
      <c r="O238" s="5"/>
      <c r="P238" s="5" t="s">
        <v>792</v>
      </c>
      <c r="Q238" s="14" t="s">
        <v>793</v>
      </c>
      <c r="R238" s="7" t="n">
        <v>4879</v>
      </c>
      <c r="S238" s="7" t="n">
        <v>379</v>
      </c>
      <c r="T238" s="5" t="s">
        <v>794</v>
      </c>
      <c r="U238" s="6" t="n">
        <v>435916.78</v>
      </c>
      <c r="V238" s="7" t="n">
        <v>27584</v>
      </c>
      <c r="W238" s="5" t="n">
        <v>22</v>
      </c>
      <c r="X238" s="7" t="n">
        <v>1764</v>
      </c>
      <c r="Y238" s="7" t="n">
        <v>5429</v>
      </c>
      <c r="Z238" s="7" t="n">
        <v>776</v>
      </c>
      <c r="AA238" s="10" t="n">
        <v>9.99</v>
      </c>
      <c r="AB238" s="11" t="n">
        <v>24.99</v>
      </c>
      <c r="AC238" s="10" t="n">
        <v>13.38</v>
      </c>
      <c r="AD238" s="12" t="n">
        <v>0.96</v>
      </c>
      <c r="AE238" s="12" t="n">
        <v>0.87</v>
      </c>
      <c r="AF238" s="12" t="n">
        <v>0.8</v>
      </c>
      <c r="AG238" s="7" t="n">
        <v>117</v>
      </c>
      <c r="AH238" s="7" t="n">
        <v>2536</v>
      </c>
      <c r="AI238" s="5" t="s">
        <v>795</v>
      </c>
    </row>
    <row r="239" customFormat="false" ht="15" hidden="false" customHeight="false" outlineLevel="0" collapsed="false">
      <c r="A239" s="5" t="s">
        <v>269</v>
      </c>
      <c r="B239" s="5" t="s">
        <v>796</v>
      </c>
      <c r="C239" s="5"/>
      <c r="D239" s="5" t="s">
        <v>269</v>
      </c>
      <c r="E239" s="5" t="s">
        <v>60</v>
      </c>
      <c r="F239" s="6" t="n">
        <v>15814.85</v>
      </c>
      <c r="G239" s="7" t="n">
        <v>526</v>
      </c>
      <c r="H239" s="8" t="n">
        <v>0.0111</v>
      </c>
      <c r="I239" s="8" t="n">
        <v>-0.116</v>
      </c>
      <c r="J239" s="7" t="n">
        <v>49</v>
      </c>
      <c r="K239" s="5" t="n">
        <v>2</v>
      </c>
      <c r="L239" s="5" t="n">
        <v>7</v>
      </c>
      <c r="M239" s="5" t="n">
        <v>4.2</v>
      </c>
      <c r="N239" s="9" t="s">
        <v>54</v>
      </c>
      <c r="O239" s="5"/>
      <c r="P239" s="5"/>
      <c r="Q239" s="5"/>
      <c r="R239" s="7"/>
      <c r="S239" s="7"/>
      <c r="T239" s="5"/>
      <c r="U239" s="6"/>
      <c r="V239" s="7"/>
      <c r="W239" s="5"/>
      <c r="X239" s="7"/>
      <c r="Y239" s="7"/>
      <c r="Z239" s="7"/>
      <c r="AA239" s="10"/>
      <c r="AB239" s="11"/>
      <c r="AC239" s="10"/>
      <c r="AD239" s="12"/>
      <c r="AE239" s="12"/>
      <c r="AF239" s="12"/>
      <c r="AG239" s="7"/>
      <c r="AH239" s="7"/>
      <c r="AI239" s="5" t="s">
        <v>797</v>
      </c>
    </row>
    <row r="240" customFormat="false" ht="15" hidden="false" customHeight="false" outlineLevel="0" collapsed="false">
      <c r="A240" s="5" t="s">
        <v>269</v>
      </c>
      <c r="B240" s="5" t="s">
        <v>798</v>
      </c>
      <c r="C240" s="5" t="s">
        <v>798</v>
      </c>
      <c r="D240" s="5" t="s">
        <v>269</v>
      </c>
      <c r="E240" s="5" t="s">
        <v>60</v>
      </c>
      <c r="F240" s="6" t="n">
        <v>15768.68</v>
      </c>
      <c r="G240" s="7" t="n">
        <v>315</v>
      </c>
      <c r="H240" s="8" t="n">
        <v>0.3771</v>
      </c>
      <c r="I240" s="8" t="n">
        <v>0.25</v>
      </c>
      <c r="J240" s="7" t="n">
        <v>99</v>
      </c>
      <c r="K240" s="5" t="n">
        <v>14</v>
      </c>
      <c r="L240" s="5" t="n">
        <v>74</v>
      </c>
      <c r="M240" s="5" t="n">
        <v>4.3</v>
      </c>
      <c r="N240" s="9" t="s">
        <v>54</v>
      </c>
      <c r="O240" s="5"/>
      <c r="P240" s="5"/>
      <c r="Q240" s="5"/>
      <c r="R240" s="7"/>
      <c r="S240" s="7"/>
      <c r="T240" s="5"/>
      <c r="U240" s="6"/>
      <c r="V240" s="7"/>
      <c r="W240" s="5"/>
      <c r="X240" s="7"/>
      <c r="Y240" s="7"/>
      <c r="Z240" s="7"/>
      <c r="AA240" s="10"/>
      <c r="AB240" s="11"/>
      <c r="AC240" s="10"/>
      <c r="AD240" s="12"/>
      <c r="AE240" s="12"/>
      <c r="AF240" s="12"/>
      <c r="AG240" s="7"/>
      <c r="AH240" s="7"/>
      <c r="AI240" s="5" t="s">
        <v>799</v>
      </c>
    </row>
    <row r="241" customFormat="false" ht="15" hidden="false" customHeight="false" outlineLevel="0" collapsed="false">
      <c r="A241" s="5" t="s">
        <v>269</v>
      </c>
      <c r="B241" s="5" t="s">
        <v>800</v>
      </c>
      <c r="C241" s="5" t="s">
        <v>801</v>
      </c>
      <c r="D241" s="5" t="s">
        <v>269</v>
      </c>
      <c r="E241" s="5" t="s">
        <v>60</v>
      </c>
      <c r="F241" s="6" t="n">
        <v>15164.67</v>
      </c>
      <c r="G241" s="7" t="n">
        <v>509</v>
      </c>
      <c r="H241" s="8" t="n">
        <v>-0.0766</v>
      </c>
      <c r="I241" s="8" t="n">
        <v>-0.2169</v>
      </c>
      <c r="J241" s="7" t="n">
        <v>432</v>
      </c>
      <c r="K241" s="5" t="n">
        <v>21</v>
      </c>
      <c r="L241" s="5" t="n">
        <v>20</v>
      </c>
      <c r="M241" s="5" t="n">
        <v>4.4</v>
      </c>
      <c r="N241" s="9" t="s">
        <v>54</v>
      </c>
      <c r="O241" s="5"/>
      <c r="P241" s="5" t="s">
        <v>802</v>
      </c>
      <c r="Q241" s="14" t="s">
        <v>803</v>
      </c>
      <c r="R241" s="7" t="n">
        <v>79782</v>
      </c>
      <c r="S241" s="7" t="n">
        <v>1766</v>
      </c>
      <c r="T241" s="5" t="s">
        <v>804</v>
      </c>
      <c r="U241" s="6" t="n">
        <v>2101930.66</v>
      </c>
      <c r="V241" s="7" t="n">
        <v>120745</v>
      </c>
      <c r="W241" s="5" t="n">
        <v>60</v>
      </c>
      <c r="X241" s="7" t="n">
        <v>9263</v>
      </c>
      <c r="Y241" s="7" t="n">
        <v>18803</v>
      </c>
      <c r="Z241" s="7" t="n">
        <v>2724</v>
      </c>
      <c r="AA241" s="10" t="n">
        <v>1.99</v>
      </c>
      <c r="AB241" s="11" t="n">
        <v>97.5</v>
      </c>
      <c r="AC241" s="10" t="n">
        <v>13.34</v>
      </c>
      <c r="AD241" s="12" t="n">
        <v>0.83</v>
      </c>
      <c r="AE241" s="12" t="n">
        <v>0.87</v>
      </c>
      <c r="AF241" s="12" t="n">
        <v>0.89</v>
      </c>
      <c r="AG241" s="7" t="n">
        <v>103</v>
      </c>
      <c r="AH241" s="7" t="n">
        <v>2111</v>
      </c>
      <c r="AI241" s="5" t="s">
        <v>805</v>
      </c>
    </row>
    <row r="242" customFormat="false" ht="15" hidden="false" customHeight="false" outlineLevel="0" collapsed="false">
      <c r="A242" s="5" t="s">
        <v>269</v>
      </c>
      <c r="B242" s="5" t="s">
        <v>806</v>
      </c>
      <c r="C242" s="5" t="s">
        <v>807</v>
      </c>
      <c r="D242" s="5" t="s">
        <v>269</v>
      </c>
      <c r="E242" s="5" t="s">
        <v>60</v>
      </c>
      <c r="F242" s="6" t="n">
        <v>15041.63</v>
      </c>
      <c r="G242" s="7" t="n">
        <v>868</v>
      </c>
      <c r="H242" s="8" t="n">
        <v>0.2262</v>
      </c>
      <c r="I242" s="8" t="n">
        <v>0.2191</v>
      </c>
      <c r="J242" s="7" t="n">
        <v>245</v>
      </c>
      <c r="K242" s="5" t="n">
        <v>4</v>
      </c>
      <c r="L242" s="5" t="n">
        <v>4</v>
      </c>
      <c r="M242" s="5" t="n">
        <v>4.4</v>
      </c>
      <c r="N242" s="9" t="s">
        <v>54</v>
      </c>
      <c r="O242" s="5"/>
      <c r="P242" s="5"/>
      <c r="Q242" s="5"/>
      <c r="R242" s="7"/>
      <c r="S242" s="7"/>
      <c r="T242" s="5"/>
      <c r="U242" s="6"/>
      <c r="V242" s="7"/>
      <c r="W242" s="5"/>
      <c r="X242" s="7"/>
      <c r="Y242" s="7"/>
      <c r="Z242" s="7"/>
      <c r="AA242" s="10"/>
      <c r="AB242" s="11"/>
      <c r="AC242" s="10"/>
      <c r="AD242" s="12"/>
      <c r="AE242" s="12"/>
      <c r="AF242" s="12"/>
      <c r="AG242" s="7"/>
      <c r="AH242" s="7"/>
      <c r="AI242" s="5" t="s">
        <v>808</v>
      </c>
    </row>
    <row r="243" customFormat="false" ht="15" hidden="false" customHeight="false" outlineLevel="0" collapsed="false">
      <c r="A243" s="5" t="s">
        <v>269</v>
      </c>
      <c r="B243" s="5" t="s">
        <v>809</v>
      </c>
      <c r="C243" s="5"/>
      <c r="D243" s="5" t="s">
        <v>269</v>
      </c>
      <c r="E243" s="5" t="s">
        <v>60</v>
      </c>
      <c r="F243" s="6" t="n">
        <v>15021.48</v>
      </c>
      <c r="G243" s="7" t="n">
        <v>551</v>
      </c>
      <c r="H243" s="8" t="n">
        <v>0.9921</v>
      </c>
      <c r="I243" s="8" t="n">
        <v>0.5925</v>
      </c>
      <c r="J243" s="7" t="n">
        <v>58</v>
      </c>
      <c r="K243" s="5" t="n">
        <v>4</v>
      </c>
      <c r="L243" s="5" t="n">
        <v>4</v>
      </c>
      <c r="M243" s="5" t="n">
        <v>4.5</v>
      </c>
      <c r="N243" s="9" t="s">
        <v>54</v>
      </c>
      <c r="O243" s="5"/>
      <c r="P243" s="5"/>
      <c r="Q243" s="5"/>
      <c r="R243" s="7"/>
      <c r="S243" s="7"/>
      <c r="T243" s="5"/>
      <c r="U243" s="6"/>
      <c r="V243" s="7"/>
      <c r="W243" s="5"/>
      <c r="X243" s="7"/>
      <c r="Y243" s="7"/>
      <c r="Z243" s="7"/>
      <c r="AA243" s="10"/>
      <c r="AB243" s="11"/>
      <c r="AC243" s="10"/>
      <c r="AD243" s="12"/>
      <c r="AE243" s="12"/>
      <c r="AF243" s="12"/>
      <c r="AG243" s="7"/>
      <c r="AH243" s="7"/>
      <c r="AI243" s="5" t="s">
        <v>810</v>
      </c>
    </row>
    <row r="244" customFormat="false" ht="15" hidden="false" customHeight="false" outlineLevel="0" collapsed="false">
      <c r="A244" s="5" t="s">
        <v>269</v>
      </c>
      <c r="B244" s="5" t="s">
        <v>811</v>
      </c>
      <c r="C244" s="5" t="s">
        <v>812</v>
      </c>
      <c r="D244" s="5" t="s">
        <v>269</v>
      </c>
      <c r="E244" s="5" t="s">
        <v>60</v>
      </c>
      <c r="F244" s="6" t="n">
        <v>14928.91</v>
      </c>
      <c r="G244" s="7" t="n">
        <v>745</v>
      </c>
      <c r="H244" s="8" t="n">
        <v>0.3825</v>
      </c>
      <c r="I244" s="8" t="n">
        <v>0.2213</v>
      </c>
      <c r="J244" s="7" t="n">
        <v>125</v>
      </c>
      <c r="K244" s="5" t="n">
        <v>22</v>
      </c>
      <c r="L244" s="5" t="n">
        <v>54</v>
      </c>
      <c r="M244" s="5" t="n">
        <v>4.6</v>
      </c>
      <c r="N244" s="9" t="s">
        <v>54</v>
      </c>
      <c r="O244" s="5"/>
      <c r="P244" s="5"/>
      <c r="Q244" s="5"/>
      <c r="R244" s="7"/>
      <c r="S244" s="7"/>
      <c r="T244" s="5"/>
      <c r="U244" s="6"/>
      <c r="V244" s="7"/>
      <c r="W244" s="5"/>
      <c r="X244" s="7"/>
      <c r="Y244" s="7"/>
      <c r="Z244" s="7"/>
      <c r="AA244" s="10"/>
      <c r="AB244" s="11"/>
      <c r="AC244" s="10"/>
      <c r="AD244" s="12"/>
      <c r="AE244" s="12"/>
      <c r="AF244" s="12"/>
      <c r="AG244" s="7"/>
      <c r="AH244" s="7"/>
      <c r="AI244" s="5" t="s">
        <v>813</v>
      </c>
    </row>
    <row r="245" customFormat="false" ht="15" hidden="false" customHeight="false" outlineLevel="0" collapsed="false">
      <c r="A245" s="5" t="s">
        <v>269</v>
      </c>
      <c r="B245" s="5" t="s">
        <v>814</v>
      </c>
      <c r="C245" s="5"/>
      <c r="D245" s="5" t="s">
        <v>269</v>
      </c>
      <c r="E245" s="5" t="s">
        <v>60</v>
      </c>
      <c r="F245" s="6" t="n">
        <v>14739.63</v>
      </c>
      <c r="G245" s="7" t="n">
        <v>915</v>
      </c>
      <c r="H245" s="8" t="n">
        <v>-0.1502</v>
      </c>
      <c r="I245" s="8" t="n">
        <v>-0.2291</v>
      </c>
      <c r="J245" s="7" t="n">
        <v>385</v>
      </c>
      <c r="K245" s="5" t="n">
        <v>12</v>
      </c>
      <c r="L245" s="5" t="n">
        <v>23</v>
      </c>
      <c r="M245" s="5" t="n">
        <v>4.5</v>
      </c>
      <c r="N245" s="9" t="s">
        <v>54</v>
      </c>
      <c r="O245" s="5"/>
      <c r="P245" s="5"/>
      <c r="Q245" s="5"/>
      <c r="R245" s="7"/>
      <c r="S245" s="7"/>
      <c r="T245" s="5"/>
      <c r="U245" s="6"/>
      <c r="V245" s="7"/>
      <c r="W245" s="5"/>
      <c r="X245" s="7"/>
      <c r="Y245" s="7"/>
      <c r="Z245" s="7"/>
      <c r="AA245" s="10"/>
      <c r="AB245" s="11"/>
      <c r="AC245" s="10"/>
      <c r="AD245" s="12"/>
      <c r="AE245" s="12"/>
      <c r="AF245" s="12"/>
      <c r="AG245" s="7"/>
      <c r="AH245" s="7"/>
      <c r="AI245" s="5" t="s">
        <v>815</v>
      </c>
    </row>
    <row r="246" customFormat="false" ht="15" hidden="false" customHeight="false" outlineLevel="0" collapsed="false">
      <c r="A246" s="5" t="s">
        <v>269</v>
      </c>
      <c r="B246" s="5" t="s">
        <v>816</v>
      </c>
      <c r="C246" s="5" t="s">
        <v>817</v>
      </c>
      <c r="D246" s="5" t="s">
        <v>269</v>
      </c>
      <c r="E246" s="5" t="s">
        <v>60</v>
      </c>
      <c r="F246" s="6" t="n">
        <v>14519.1</v>
      </c>
      <c r="G246" s="7" t="n">
        <v>383</v>
      </c>
      <c r="H246" s="8" t="n">
        <v>0.2441</v>
      </c>
      <c r="I246" s="8" t="n">
        <v>-0.2263</v>
      </c>
      <c r="J246" s="7" t="n">
        <v>69</v>
      </c>
      <c r="K246" s="5" t="n">
        <v>8</v>
      </c>
      <c r="L246" s="5" t="n">
        <v>16</v>
      </c>
      <c r="M246" s="5" t="n">
        <v>4.1</v>
      </c>
      <c r="N246" s="9" t="s">
        <v>54</v>
      </c>
      <c r="O246" s="5"/>
      <c r="P246" s="5"/>
      <c r="Q246" s="5"/>
      <c r="R246" s="7"/>
      <c r="S246" s="7"/>
      <c r="T246" s="5"/>
      <c r="U246" s="6"/>
      <c r="V246" s="7"/>
      <c r="W246" s="5"/>
      <c r="X246" s="7"/>
      <c r="Y246" s="7"/>
      <c r="Z246" s="7"/>
      <c r="AA246" s="10"/>
      <c r="AB246" s="11"/>
      <c r="AC246" s="10"/>
      <c r="AD246" s="12"/>
      <c r="AE246" s="12"/>
      <c r="AF246" s="12"/>
      <c r="AG246" s="7"/>
      <c r="AH246" s="7"/>
      <c r="AI246" s="5" t="s">
        <v>818</v>
      </c>
    </row>
    <row r="247" customFormat="false" ht="15" hidden="false" customHeight="false" outlineLevel="0" collapsed="false">
      <c r="A247" s="5" t="s">
        <v>269</v>
      </c>
      <c r="B247" s="5" t="s">
        <v>819</v>
      </c>
      <c r="C247" s="5" t="s">
        <v>820</v>
      </c>
      <c r="D247" s="5" t="s">
        <v>269</v>
      </c>
      <c r="E247" s="5" t="s">
        <v>60</v>
      </c>
      <c r="F247" s="6" t="n">
        <v>13531.17</v>
      </c>
      <c r="G247" s="7" t="n">
        <v>377</v>
      </c>
      <c r="H247" s="8" t="n">
        <v>1.847</v>
      </c>
      <c r="I247" s="8" t="n">
        <v>1.4641</v>
      </c>
      <c r="J247" s="7" t="n">
        <v>262</v>
      </c>
      <c r="K247" s="5" t="n">
        <v>4</v>
      </c>
      <c r="L247" s="5" t="n">
        <v>15</v>
      </c>
      <c r="M247" s="5" t="n">
        <v>4.1</v>
      </c>
      <c r="N247" s="9" t="s">
        <v>54</v>
      </c>
      <c r="O247" s="5"/>
      <c r="P247" s="5"/>
      <c r="Q247" s="5"/>
      <c r="R247" s="7"/>
      <c r="S247" s="7"/>
      <c r="T247" s="5"/>
      <c r="U247" s="6"/>
      <c r="V247" s="7"/>
      <c r="W247" s="5"/>
      <c r="X247" s="7"/>
      <c r="Y247" s="7"/>
      <c r="Z247" s="7"/>
      <c r="AA247" s="10"/>
      <c r="AB247" s="11"/>
      <c r="AC247" s="10"/>
      <c r="AD247" s="12"/>
      <c r="AE247" s="12"/>
      <c r="AF247" s="12"/>
      <c r="AG247" s="7"/>
      <c r="AH247" s="7"/>
      <c r="AI247" s="5" t="s">
        <v>821</v>
      </c>
    </row>
    <row r="248" customFormat="false" ht="15" hidden="false" customHeight="false" outlineLevel="0" collapsed="false">
      <c r="A248" s="5" t="s">
        <v>269</v>
      </c>
      <c r="B248" s="5" t="s">
        <v>822</v>
      </c>
      <c r="C248" s="5" t="s">
        <v>823</v>
      </c>
      <c r="D248" s="5" t="s">
        <v>269</v>
      </c>
      <c r="E248" s="5" t="s">
        <v>60</v>
      </c>
      <c r="F248" s="6" t="n">
        <v>12886.41</v>
      </c>
      <c r="G248" s="7" t="n">
        <v>805</v>
      </c>
      <c r="H248" s="8" t="n">
        <v>0.0753</v>
      </c>
      <c r="I248" s="8" t="n">
        <v>-0.0496</v>
      </c>
      <c r="J248" s="7" t="n">
        <v>146</v>
      </c>
      <c r="K248" s="5" t="n">
        <v>56</v>
      </c>
      <c r="L248" s="5" t="n">
        <v>120</v>
      </c>
      <c r="M248" s="5" t="n">
        <v>4.2</v>
      </c>
      <c r="N248" s="9" t="s">
        <v>54</v>
      </c>
      <c r="O248" s="5"/>
      <c r="P248" s="5"/>
      <c r="Q248" s="5"/>
      <c r="R248" s="7"/>
      <c r="S248" s="7"/>
      <c r="T248" s="5"/>
      <c r="U248" s="6"/>
      <c r="V248" s="7"/>
      <c r="W248" s="5"/>
      <c r="X248" s="7"/>
      <c r="Y248" s="7"/>
      <c r="Z248" s="7"/>
      <c r="AA248" s="10"/>
      <c r="AB248" s="11"/>
      <c r="AC248" s="10"/>
      <c r="AD248" s="12"/>
      <c r="AE248" s="12"/>
      <c r="AF248" s="12"/>
      <c r="AG248" s="7"/>
      <c r="AH248" s="7"/>
      <c r="AI248" s="5" t="s">
        <v>824</v>
      </c>
    </row>
    <row r="249" customFormat="false" ht="15" hidden="false" customHeight="false" outlineLevel="0" collapsed="false">
      <c r="A249" s="5" t="s">
        <v>269</v>
      </c>
      <c r="B249" s="5" t="s">
        <v>825</v>
      </c>
      <c r="C249" s="5" t="s">
        <v>826</v>
      </c>
      <c r="D249" s="5" t="s">
        <v>269</v>
      </c>
      <c r="E249" s="5" t="s">
        <v>60</v>
      </c>
      <c r="F249" s="6" t="n">
        <v>12403.78</v>
      </c>
      <c r="G249" s="7" t="n">
        <v>1256</v>
      </c>
      <c r="H249" s="8" t="n">
        <v>0.9855</v>
      </c>
      <c r="I249" s="8" t="n">
        <v>0.6375</v>
      </c>
      <c r="J249" s="7" t="n">
        <v>16</v>
      </c>
      <c r="K249" s="5" t="n">
        <v>11</v>
      </c>
      <c r="L249" s="5" t="n">
        <v>46</v>
      </c>
      <c r="M249" s="5" t="n">
        <v>2.5</v>
      </c>
      <c r="N249" s="9" t="s">
        <v>54</v>
      </c>
      <c r="O249" s="5"/>
      <c r="P249" s="5"/>
      <c r="Q249" s="5"/>
      <c r="R249" s="7"/>
      <c r="S249" s="7"/>
      <c r="T249" s="5"/>
      <c r="U249" s="6"/>
      <c r="V249" s="7"/>
      <c r="W249" s="5"/>
      <c r="X249" s="7"/>
      <c r="Y249" s="7"/>
      <c r="Z249" s="7"/>
      <c r="AA249" s="10"/>
      <c r="AB249" s="11"/>
      <c r="AC249" s="10"/>
      <c r="AD249" s="12"/>
      <c r="AE249" s="12"/>
      <c r="AF249" s="12"/>
      <c r="AG249" s="7"/>
      <c r="AH249" s="7"/>
      <c r="AI249" s="5" t="s">
        <v>827</v>
      </c>
    </row>
    <row r="250" customFormat="false" ht="15" hidden="false" customHeight="false" outlineLevel="0" collapsed="false">
      <c r="A250" s="5" t="s">
        <v>269</v>
      </c>
      <c r="B250" s="5" t="s">
        <v>828</v>
      </c>
      <c r="C250" s="5" t="s">
        <v>829</v>
      </c>
      <c r="D250" s="5" t="s">
        <v>269</v>
      </c>
      <c r="E250" s="5" t="s">
        <v>60</v>
      </c>
      <c r="F250" s="6" t="n">
        <v>12054.26</v>
      </c>
      <c r="G250" s="7" t="n">
        <v>791</v>
      </c>
      <c r="H250" s="8" t="n">
        <v>0.4199</v>
      </c>
      <c r="I250" s="8" t="n">
        <v>0.022</v>
      </c>
      <c r="J250" s="7" t="n">
        <v>263</v>
      </c>
      <c r="K250" s="5" t="n">
        <v>13</v>
      </c>
      <c r="L250" s="5" t="n">
        <v>29</v>
      </c>
      <c r="M250" s="5" t="n">
        <v>4.6</v>
      </c>
      <c r="N250" s="9" t="s">
        <v>54</v>
      </c>
      <c r="O250" s="5"/>
      <c r="P250" s="5"/>
      <c r="Q250" s="5"/>
      <c r="R250" s="7"/>
      <c r="S250" s="7"/>
      <c r="T250" s="5"/>
      <c r="U250" s="6"/>
      <c r="V250" s="7"/>
      <c r="W250" s="5"/>
      <c r="X250" s="7"/>
      <c r="Y250" s="7"/>
      <c r="Z250" s="7"/>
      <c r="AA250" s="10"/>
      <c r="AB250" s="11"/>
      <c r="AC250" s="10"/>
      <c r="AD250" s="12"/>
      <c r="AE250" s="12"/>
      <c r="AF250" s="12"/>
      <c r="AG250" s="7"/>
      <c r="AH250" s="7"/>
      <c r="AI250" s="5" t="s">
        <v>830</v>
      </c>
    </row>
    <row r="251" customFormat="false" ht="15" hidden="false" customHeight="false" outlineLevel="0" collapsed="false">
      <c r="A251" s="5" t="s">
        <v>269</v>
      </c>
      <c r="B251" s="5" t="s">
        <v>831</v>
      </c>
      <c r="C251" s="5"/>
      <c r="D251" s="5" t="s">
        <v>269</v>
      </c>
      <c r="E251" s="5" t="s">
        <v>60</v>
      </c>
      <c r="F251" s="6" t="n">
        <v>11727.92</v>
      </c>
      <c r="G251" s="7" t="n">
        <v>387</v>
      </c>
      <c r="H251" s="8" t="n">
        <v>0.9409</v>
      </c>
      <c r="I251" s="8" t="n">
        <v>1.1148</v>
      </c>
      <c r="J251" s="7" t="n">
        <v>0</v>
      </c>
      <c r="K251" s="5" t="n">
        <v>8</v>
      </c>
      <c r="L251" s="5" t="n">
        <v>15</v>
      </c>
      <c r="M251" s="5" t="n">
        <v>4.4</v>
      </c>
      <c r="N251" s="9" t="s">
        <v>54</v>
      </c>
      <c r="O251" s="5"/>
      <c r="P251" s="5"/>
      <c r="Q251" s="5"/>
      <c r="R251" s="7"/>
      <c r="S251" s="7"/>
      <c r="T251" s="5"/>
      <c r="U251" s="6"/>
      <c r="V251" s="7"/>
      <c r="W251" s="5"/>
      <c r="X251" s="7"/>
      <c r="Y251" s="7"/>
      <c r="Z251" s="7"/>
      <c r="AA251" s="10"/>
      <c r="AB251" s="11"/>
      <c r="AC251" s="10"/>
      <c r="AD251" s="12"/>
      <c r="AE251" s="12"/>
      <c r="AF251" s="12"/>
      <c r="AG251" s="7"/>
      <c r="AH251" s="7"/>
      <c r="AI251" s="5" t="s">
        <v>832</v>
      </c>
    </row>
    <row r="252" customFormat="false" ht="15" hidden="false" customHeight="false" outlineLevel="0" collapsed="false">
      <c r="A252" s="5" t="s">
        <v>269</v>
      </c>
      <c r="B252" s="5" t="s">
        <v>833</v>
      </c>
      <c r="C252" s="5"/>
      <c r="D252" s="5" t="s">
        <v>581</v>
      </c>
      <c r="E252" s="5" t="s">
        <v>60</v>
      </c>
      <c r="F252" s="6" t="n">
        <v>11514.19</v>
      </c>
      <c r="G252" s="7" t="n">
        <v>479</v>
      </c>
      <c r="H252" s="8" t="n">
        <v>-0.1137</v>
      </c>
      <c r="I252" s="8" t="n">
        <v>-0.199</v>
      </c>
      <c r="J252" s="7" t="n">
        <v>337</v>
      </c>
      <c r="K252" s="5" t="n">
        <v>8</v>
      </c>
      <c r="L252" s="5" t="n">
        <v>12</v>
      </c>
      <c r="M252" s="5" t="n">
        <v>4.5</v>
      </c>
      <c r="N252" s="13" t="s">
        <v>61</v>
      </c>
      <c r="O252" s="5"/>
      <c r="P252" s="5"/>
      <c r="Q252" s="5"/>
      <c r="R252" s="7"/>
      <c r="S252" s="7"/>
      <c r="T252" s="5"/>
      <c r="U252" s="6"/>
      <c r="V252" s="7"/>
      <c r="W252" s="5"/>
      <c r="X252" s="7"/>
      <c r="Y252" s="7"/>
      <c r="Z252" s="7"/>
      <c r="AA252" s="10"/>
      <c r="AB252" s="11"/>
      <c r="AC252" s="10"/>
      <c r="AD252" s="12"/>
      <c r="AE252" s="12"/>
      <c r="AF252" s="12"/>
      <c r="AG252" s="7"/>
      <c r="AH252" s="7"/>
      <c r="AI252" s="5" t="s">
        <v>834</v>
      </c>
    </row>
    <row r="253" customFormat="false" ht="15" hidden="false" customHeight="false" outlineLevel="0" collapsed="false">
      <c r="A253" s="5" t="s">
        <v>210</v>
      </c>
      <c r="B253" s="5" t="s">
        <v>835</v>
      </c>
      <c r="C253" s="5"/>
      <c r="D253" s="5" t="s">
        <v>59</v>
      </c>
      <c r="E253" s="5" t="s">
        <v>60</v>
      </c>
      <c r="F253" s="6" t="n">
        <v>29285.06</v>
      </c>
      <c r="G253" s="7" t="n">
        <v>2465</v>
      </c>
      <c r="H253" s="8" t="n">
        <v>0.6135</v>
      </c>
      <c r="I253" s="8" t="n">
        <v>0.4038</v>
      </c>
      <c r="J253" s="7" t="n">
        <v>62</v>
      </c>
      <c r="K253" s="5" t="n">
        <v>6</v>
      </c>
      <c r="L253" s="5" t="n">
        <v>156</v>
      </c>
      <c r="M253" s="5" t="n">
        <v>3.3</v>
      </c>
      <c r="N253" s="13" t="s">
        <v>61</v>
      </c>
      <c r="O253" s="5"/>
      <c r="P253" s="5"/>
      <c r="Q253" s="5"/>
      <c r="R253" s="7"/>
      <c r="S253" s="7"/>
      <c r="T253" s="5"/>
      <c r="U253" s="6"/>
      <c r="V253" s="7"/>
      <c r="W253" s="5"/>
      <c r="X253" s="7"/>
      <c r="Y253" s="7"/>
      <c r="Z253" s="7"/>
      <c r="AA253" s="10"/>
      <c r="AB253" s="11"/>
      <c r="AC253" s="10"/>
      <c r="AD253" s="12"/>
      <c r="AE253" s="12"/>
      <c r="AF253" s="12"/>
      <c r="AG253" s="7"/>
      <c r="AH253" s="7"/>
      <c r="AI253" s="5" t="s">
        <v>836</v>
      </c>
    </row>
    <row r="254" customFormat="false" ht="15" hidden="false" customHeight="false" outlineLevel="0" collapsed="false">
      <c r="A254" s="5" t="s">
        <v>210</v>
      </c>
      <c r="B254" s="5" t="s">
        <v>837</v>
      </c>
      <c r="C254" s="5" t="s">
        <v>838</v>
      </c>
      <c r="D254" s="5" t="s">
        <v>210</v>
      </c>
      <c r="E254" s="5" t="s">
        <v>60</v>
      </c>
      <c r="F254" s="6" t="n">
        <v>29168</v>
      </c>
      <c r="G254" s="7" t="n">
        <v>204</v>
      </c>
      <c r="H254" s="8" t="n">
        <v>20.4785</v>
      </c>
      <c r="I254" s="8" t="n">
        <v>16</v>
      </c>
      <c r="J254" s="7" t="n">
        <v>57</v>
      </c>
      <c r="K254" s="5" t="n">
        <v>5</v>
      </c>
      <c r="L254" s="5" t="n">
        <v>1551</v>
      </c>
      <c r="M254" s="5" t="n">
        <v>4.1</v>
      </c>
      <c r="N254" s="9" t="s">
        <v>54</v>
      </c>
      <c r="O254" s="5"/>
      <c r="P254" s="5"/>
      <c r="Q254" s="5"/>
      <c r="R254" s="7"/>
      <c r="S254" s="7"/>
      <c r="T254" s="5"/>
      <c r="U254" s="6"/>
      <c r="V254" s="7"/>
      <c r="W254" s="5"/>
      <c r="X254" s="7"/>
      <c r="Y254" s="7"/>
      <c r="Z254" s="7"/>
      <c r="AA254" s="10"/>
      <c r="AB254" s="11"/>
      <c r="AC254" s="10"/>
      <c r="AD254" s="12"/>
      <c r="AE254" s="12"/>
      <c r="AF254" s="12"/>
      <c r="AG254" s="7"/>
      <c r="AH254" s="7"/>
      <c r="AI254" s="5" t="s">
        <v>839</v>
      </c>
    </row>
    <row r="255" customFormat="false" ht="15" hidden="false" customHeight="false" outlineLevel="0" collapsed="false">
      <c r="A255" s="5" t="s">
        <v>210</v>
      </c>
      <c r="B255" s="5" t="s">
        <v>840</v>
      </c>
      <c r="C255" s="5" t="s">
        <v>841</v>
      </c>
      <c r="D255" s="5" t="s">
        <v>83</v>
      </c>
      <c r="E255" s="5" t="s">
        <v>60</v>
      </c>
      <c r="F255" s="6" t="n">
        <v>27621.35</v>
      </c>
      <c r="G255" s="7" t="n">
        <v>299</v>
      </c>
      <c r="H255" s="8" t="n">
        <v>5.0948</v>
      </c>
      <c r="I255" s="8" t="n">
        <v>3.2113</v>
      </c>
      <c r="J255" s="7" t="n">
        <v>44</v>
      </c>
      <c r="K255" s="5" t="n">
        <v>11</v>
      </c>
      <c r="L255" s="5" t="n">
        <v>3027</v>
      </c>
      <c r="M255" s="5" t="n">
        <v>4.4</v>
      </c>
      <c r="N255" s="13" t="s">
        <v>61</v>
      </c>
      <c r="O255" s="5" t="s">
        <v>842</v>
      </c>
      <c r="P255" s="5"/>
      <c r="Q255" s="5"/>
      <c r="R255" s="7"/>
      <c r="S255" s="7"/>
      <c r="T255" s="5"/>
      <c r="U255" s="6"/>
      <c r="V255" s="7"/>
      <c r="W255" s="5"/>
      <c r="X255" s="7"/>
      <c r="Y255" s="7"/>
      <c r="Z255" s="7"/>
      <c r="AA255" s="10"/>
      <c r="AB255" s="11"/>
      <c r="AC255" s="10"/>
      <c r="AD255" s="12"/>
      <c r="AE255" s="12"/>
      <c r="AF255" s="12"/>
      <c r="AG255" s="7"/>
      <c r="AH255" s="7"/>
      <c r="AI255" s="5" t="s">
        <v>843</v>
      </c>
    </row>
    <row r="256" customFormat="false" ht="15" hidden="false" customHeight="false" outlineLevel="0" collapsed="false">
      <c r="A256" s="5" t="s">
        <v>210</v>
      </c>
      <c r="B256" s="5" t="s">
        <v>844</v>
      </c>
      <c r="C256" s="5" t="s">
        <v>845</v>
      </c>
      <c r="D256" s="5" t="s">
        <v>446</v>
      </c>
      <c r="E256" s="5" t="s">
        <v>60</v>
      </c>
      <c r="F256" s="6" t="n">
        <v>26474.63</v>
      </c>
      <c r="G256" s="7" t="n">
        <v>1047</v>
      </c>
      <c r="H256" s="8" t="n">
        <v>29.5614</v>
      </c>
      <c r="I256" s="8" t="n">
        <v>25.8462</v>
      </c>
      <c r="J256" s="7" t="n">
        <v>433</v>
      </c>
      <c r="K256" s="5" t="n">
        <v>2</v>
      </c>
      <c r="L256" s="5" t="n">
        <v>42</v>
      </c>
      <c r="M256" s="5" t="n">
        <v>3.6</v>
      </c>
      <c r="N256" s="13" t="s">
        <v>61</v>
      </c>
      <c r="O256" s="5"/>
      <c r="P256" s="5"/>
      <c r="Q256" s="5"/>
      <c r="R256" s="7"/>
      <c r="S256" s="7"/>
      <c r="T256" s="5"/>
      <c r="U256" s="6"/>
      <c r="V256" s="7"/>
      <c r="W256" s="5"/>
      <c r="X256" s="7"/>
      <c r="Y256" s="7"/>
      <c r="Z256" s="7"/>
      <c r="AA256" s="10"/>
      <c r="AB256" s="11"/>
      <c r="AC256" s="10"/>
      <c r="AD256" s="12"/>
      <c r="AE256" s="12"/>
      <c r="AF256" s="12"/>
      <c r="AG256" s="7"/>
      <c r="AH256" s="7"/>
      <c r="AI256" s="5" t="s">
        <v>846</v>
      </c>
    </row>
    <row r="257" customFormat="false" ht="15" hidden="false" customHeight="false" outlineLevel="0" collapsed="false">
      <c r="A257" s="5" t="s">
        <v>210</v>
      </c>
      <c r="B257" s="5" t="s">
        <v>847</v>
      </c>
      <c r="C257" s="5" t="s">
        <v>848</v>
      </c>
      <c r="D257" s="5" t="s">
        <v>210</v>
      </c>
      <c r="E257" s="5" t="s">
        <v>60</v>
      </c>
      <c r="F257" s="6" t="n">
        <v>25971.43</v>
      </c>
      <c r="G257" s="7" t="n">
        <v>837</v>
      </c>
      <c r="H257" s="8" t="n">
        <v>4.0025</v>
      </c>
      <c r="I257" s="8" t="n">
        <v>2.375</v>
      </c>
      <c r="J257" s="7" t="n">
        <v>278</v>
      </c>
      <c r="K257" s="5" t="n">
        <v>22</v>
      </c>
      <c r="L257" s="5" t="n">
        <v>53</v>
      </c>
      <c r="M257" s="5" t="n">
        <v>4.7</v>
      </c>
      <c r="N257" s="9" t="s">
        <v>54</v>
      </c>
      <c r="O257" s="5"/>
      <c r="P257" s="5" t="s">
        <v>849</v>
      </c>
      <c r="Q257" s="14" t="s">
        <v>850</v>
      </c>
      <c r="R257" s="7" t="n">
        <v>34773</v>
      </c>
      <c r="S257" s="7" t="n">
        <v>400</v>
      </c>
      <c r="T257" s="5" t="s">
        <v>425</v>
      </c>
      <c r="U257" s="6" t="n">
        <v>682400.09</v>
      </c>
      <c r="V257" s="7" t="n">
        <v>36997</v>
      </c>
      <c r="W257" s="5" t="n">
        <v>208</v>
      </c>
      <c r="X257" s="7" t="n">
        <v>568</v>
      </c>
      <c r="Y257" s="7" t="n">
        <v>2436</v>
      </c>
      <c r="Z257" s="7" t="n">
        <v>391</v>
      </c>
      <c r="AA257" s="10" t="n">
        <v>1</v>
      </c>
      <c r="AB257" s="11" t="n">
        <v>79.04</v>
      </c>
      <c r="AC257" s="10" t="n">
        <v>18.5</v>
      </c>
      <c r="AD257" s="12" t="n">
        <v>0.61</v>
      </c>
      <c r="AE257" s="12" t="n">
        <v>0.92</v>
      </c>
      <c r="AF257" s="12" t="n">
        <v>0.97</v>
      </c>
      <c r="AG257" s="7" t="n">
        <v>40</v>
      </c>
      <c r="AH257" s="7" t="n">
        <v>1697</v>
      </c>
      <c r="AI257" s="5" t="s">
        <v>851</v>
      </c>
    </row>
    <row r="258" customFormat="false" ht="15" hidden="false" customHeight="false" outlineLevel="0" collapsed="false">
      <c r="A258" s="5" t="s">
        <v>210</v>
      </c>
      <c r="B258" s="5" t="s">
        <v>852</v>
      </c>
      <c r="C258" s="5"/>
      <c r="D258" s="5" t="s">
        <v>210</v>
      </c>
      <c r="E258" s="5" t="s">
        <v>60</v>
      </c>
      <c r="F258" s="6" t="n">
        <v>25705.62</v>
      </c>
      <c r="G258" s="7" t="n">
        <v>495</v>
      </c>
      <c r="H258" s="8" t="n">
        <v>116.8664</v>
      </c>
      <c r="I258" s="8" t="n">
        <v>246.5</v>
      </c>
      <c r="J258" s="7" t="n">
        <v>237</v>
      </c>
      <c r="K258" s="5" t="n">
        <v>2</v>
      </c>
      <c r="L258" s="5" t="n">
        <v>29</v>
      </c>
      <c r="M258" s="5" t="n">
        <v>4.6</v>
      </c>
      <c r="N258" s="9" t="s">
        <v>54</v>
      </c>
      <c r="O258" s="5" t="s">
        <v>258</v>
      </c>
      <c r="P258" s="5"/>
      <c r="Q258" s="5"/>
      <c r="R258" s="7"/>
      <c r="S258" s="7"/>
      <c r="T258" s="5" t="s">
        <v>853</v>
      </c>
      <c r="U258" s="6" t="n">
        <v>28135.71</v>
      </c>
      <c r="V258" s="7" t="n">
        <v>693</v>
      </c>
      <c r="W258" s="5" t="n">
        <v>42</v>
      </c>
      <c r="X258" s="7" t="n">
        <v>155</v>
      </c>
      <c r="Y258" s="7" t="n">
        <v>342</v>
      </c>
      <c r="Z258" s="7" t="n">
        <v>216</v>
      </c>
      <c r="AA258" s="10" t="n">
        <v>11.64</v>
      </c>
      <c r="AB258" s="11" t="n">
        <v>379.99</v>
      </c>
      <c r="AC258" s="10" t="n">
        <v>18.77</v>
      </c>
      <c r="AD258" s="12"/>
      <c r="AE258" s="12"/>
      <c r="AF258" s="12"/>
      <c r="AG258" s="7" t="n">
        <v>34</v>
      </c>
      <c r="AH258" s="7" t="n">
        <v>1494</v>
      </c>
      <c r="AI258" s="5" t="s">
        <v>854</v>
      </c>
    </row>
    <row r="259" customFormat="false" ht="15" hidden="false" customHeight="false" outlineLevel="0" collapsed="false">
      <c r="A259" s="5" t="s">
        <v>210</v>
      </c>
      <c r="B259" s="5" t="s">
        <v>855</v>
      </c>
      <c r="C259" s="5" t="s">
        <v>856</v>
      </c>
      <c r="D259" s="5" t="s">
        <v>210</v>
      </c>
      <c r="E259" s="5" t="s">
        <v>53</v>
      </c>
      <c r="F259" s="6" t="n">
        <v>25309.38</v>
      </c>
      <c r="G259" s="7" t="n">
        <v>1647</v>
      </c>
      <c r="H259" s="8" t="n">
        <v>-0.0208</v>
      </c>
      <c r="I259" s="8" t="n">
        <v>-0.0491</v>
      </c>
      <c r="J259" s="7" t="n">
        <v>260</v>
      </c>
      <c r="K259" s="5" t="n">
        <v>77</v>
      </c>
      <c r="L259" s="5" t="n">
        <v>158</v>
      </c>
      <c r="M259" s="5" t="n">
        <v>4.4</v>
      </c>
      <c r="N259" s="9" t="s">
        <v>54</v>
      </c>
      <c r="O259" s="5"/>
      <c r="P259" s="5"/>
      <c r="Q259" s="5"/>
      <c r="R259" s="7"/>
      <c r="S259" s="7"/>
      <c r="T259" s="5"/>
      <c r="U259" s="6"/>
      <c r="V259" s="7"/>
      <c r="W259" s="5"/>
      <c r="X259" s="7"/>
      <c r="Y259" s="7"/>
      <c r="Z259" s="7"/>
      <c r="AA259" s="10"/>
      <c r="AB259" s="11"/>
      <c r="AC259" s="10"/>
      <c r="AD259" s="12"/>
      <c r="AE259" s="12"/>
      <c r="AF259" s="12"/>
      <c r="AG259" s="7"/>
      <c r="AH259" s="7"/>
      <c r="AI259" s="5" t="s">
        <v>857</v>
      </c>
    </row>
    <row r="260" customFormat="false" ht="15" hidden="false" customHeight="false" outlineLevel="0" collapsed="false">
      <c r="A260" s="5" t="s">
        <v>210</v>
      </c>
      <c r="B260" s="5" t="s">
        <v>858</v>
      </c>
      <c r="C260" s="5"/>
      <c r="D260" s="5" t="s">
        <v>210</v>
      </c>
      <c r="E260" s="5" t="s">
        <v>53</v>
      </c>
      <c r="F260" s="6" t="n">
        <v>22873.28</v>
      </c>
      <c r="G260" s="7" t="n">
        <v>2125</v>
      </c>
      <c r="H260" s="8" t="n">
        <v>28.2564</v>
      </c>
      <c r="I260" s="8" t="n">
        <v>26.9605</v>
      </c>
      <c r="J260" s="7" t="n">
        <v>23</v>
      </c>
      <c r="K260" s="5" t="n">
        <v>3</v>
      </c>
      <c r="L260" s="5" t="n">
        <v>37</v>
      </c>
      <c r="M260" s="5" t="n">
        <v>4.8</v>
      </c>
      <c r="N260" s="9" t="s">
        <v>54</v>
      </c>
      <c r="O260" s="5"/>
      <c r="P260" s="5"/>
      <c r="Q260" s="5"/>
      <c r="R260" s="7"/>
      <c r="S260" s="7"/>
      <c r="T260" s="5"/>
      <c r="U260" s="6"/>
      <c r="V260" s="7"/>
      <c r="W260" s="5"/>
      <c r="X260" s="7"/>
      <c r="Y260" s="7"/>
      <c r="Z260" s="7"/>
      <c r="AA260" s="10"/>
      <c r="AB260" s="11"/>
      <c r="AC260" s="10"/>
      <c r="AD260" s="12"/>
      <c r="AE260" s="12"/>
      <c r="AF260" s="12"/>
      <c r="AG260" s="7"/>
      <c r="AH260" s="7"/>
      <c r="AI260" s="5" t="s">
        <v>859</v>
      </c>
    </row>
    <row r="261" customFormat="false" ht="15" hidden="false" customHeight="false" outlineLevel="0" collapsed="false">
      <c r="A261" s="5" t="s">
        <v>210</v>
      </c>
      <c r="B261" s="5" t="s">
        <v>860</v>
      </c>
      <c r="C261" s="5" t="s">
        <v>861</v>
      </c>
      <c r="D261" s="5" t="s">
        <v>210</v>
      </c>
      <c r="E261" s="5" t="s">
        <v>53</v>
      </c>
      <c r="F261" s="6" t="n">
        <v>22506.52</v>
      </c>
      <c r="G261" s="7" t="n">
        <v>2155</v>
      </c>
      <c r="H261" s="8" t="n">
        <v>0.9455</v>
      </c>
      <c r="I261" s="8" t="n">
        <v>0.4122</v>
      </c>
      <c r="J261" s="7" t="n">
        <v>471</v>
      </c>
      <c r="K261" s="5" t="n">
        <v>41</v>
      </c>
      <c r="L261" s="5" t="n">
        <v>140</v>
      </c>
      <c r="M261" s="5" t="n">
        <v>4.2</v>
      </c>
      <c r="N261" s="9" t="s">
        <v>54</v>
      </c>
      <c r="O261" s="5"/>
      <c r="P261" s="5"/>
      <c r="Q261" s="5"/>
      <c r="R261" s="7"/>
      <c r="S261" s="7"/>
      <c r="T261" s="5"/>
      <c r="U261" s="6"/>
      <c r="V261" s="7"/>
      <c r="W261" s="5"/>
      <c r="X261" s="7"/>
      <c r="Y261" s="7"/>
      <c r="Z261" s="7"/>
      <c r="AA261" s="10"/>
      <c r="AB261" s="11"/>
      <c r="AC261" s="10"/>
      <c r="AD261" s="12"/>
      <c r="AE261" s="12"/>
      <c r="AF261" s="12"/>
      <c r="AG261" s="7"/>
      <c r="AH261" s="7"/>
      <c r="AI261" s="5" t="s">
        <v>862</v>
      </c>
    </row>
    <row r="262" customFormat="false" ht="15" hidden="false" customHeight="false" outlineLevel="0" collapsed="false">
      <c r="A262" s="5" t="s">
        <v>210</v>
      </c>
      <c r="B262" s="5" t="s">
        <v>863</v>
      </c>
      <c r="C262" s="5" t="s">
        <v>864</v>
      </c>
      <c r="D262" s="5" t="s">
        <v>210</v>
      </c>
      <c r="E262" s="5" t="s">
        <v>60</v>
      </c>
      <c r="F262" s="6" t="n">
        <v>22335.48</v>
      </c>
      <c r="G262" s="7" t="n">
        <v>735</v>
      </c>
      <c r="H262" s="8" t="n">
        <v>0.3727</v>
      </c>
      <c r="I262" s="8" t="n">
        <v>0.1256</v>
      </c>
      <c r="J262" s="7" t="n">
        <v>24</v>
      </c>
      <c r="K262" s="5" t="n">
        <v>17</v>
      </c>
      <c r="L262" s="5" t="n">
        <v>90</v>
      </c>
      <c r="M262" s="5" t="n">
        <v>4.2</v>
      </c>
      <c r="N262" s="9" t="s">
        <v>54</v>
      </c>
      <c r="O262" s="5"/>
      <c r="P262" s="5" t="s">
        <v>865</v>
      </c>
      <c r="Q262" s="14" t="s">
        <v>866</v>
      </c>
      <c r="R262" s="7" t="n">
        <v>3017</v>
      </c>
      <c r="S262" s="7" t="n">
        <v>407</v>
      </c>
      <c r="T262" s="5" t="s">
        <v>867</v>
      </c>
      <c r="U262" s="6" t="n">
        <v>672217.86</v>
      </c>
      <c r="V262" s="7" t="n">
        <v>34450</v>
      </c>
      <c r="W262" s="5" t="n">
        <v>135</v>
      </c>
      <c r="X262" s="7" t="n">
        <v>1080</v>
      </c>
      <c r="Y262" s="7" t="n">
        <v>2336</v>
      </c>
      <c r="Z262" s="7" t="n">
        <v>687</v>
      </c>
      <c r="AA262" s="10" t="n">
        <v>4.29</v>
      </c>
      <c r="AB262" s="11" t="n">
        <v>233.47</v>
      </c>
      <c r="AC262" s="10" t="n">
        <v>27.73</v>
      </c>
      <c r="AD262" s="12" t="n">
        <v>0.55</v>
      </c>
      <c r="AE262" s="12" t="n">
        <v>0.9</v>
      </c>
      <c r="AF262" s="12" t="n">
        <v>0.97</v>
      </c>
      <c r="AG262" s="7" t="n">
        <v>15</v>
      </c>
      <c r="AH262" s="7" t="n">
        <v>763</v>
      </c>
      <c r="AI262" s="5" t="s">
        <v>868</v>
      </c>
    </row>
    <row r="263" customFormat="false" ht="15" hidden="false" customHeight="false" outlineLevel="0" collapsed="false">
      <c r="A263" s="5" t="s">
        <v>210</v>
      </c>
      <c r="B263" s="5" t="s">
        <v>869</v>
      </c>
      <c r="C263" s="5" t="s">
        <v>869</v>
      </c>
      <c r="D263" s="5" t="s">
        <v>210</v>
      </c>
      <c r="E263" s="5" t="s">
        <v>60</v>
      </c>
      <c r="F263" s="6" t="n">
        <v>21290.63</v>
      </c>
      <c r="G263" s="7" t="n">
        <v>744</v>
      </c>
      <c r="H263" s="8" t="n">
        <v>-0.1472</v>
      </c>
      <c r="I263" s="8" t="n">
        <v>-0.3722</v>
      </c>
      <c r="J263" s="7" t="n">
        <v>132</v>
      </c>
      <c r="K263" s="5" t="n">
        <v>2</v>
      </c>
      <c r="L263" s="5" t="n">
        <v>11</v>
      </c>
      <c r="M263" s="5" t="n">
        <v>4.8</v>
      </c>
      <c r="N263" s="9" t="s">
        <v>54</v>
      </c>
      <c r="O263" s="5"/>
      <c r="P263" s="5" t="s">
        <v>870</v>
      </c>
      <c r="Q263" s="14" t="s">
        <v>871</v>
      </c>
      <c r="R263" s="7" t="n">
        <v>48</v>
      </c>
      <c r="S263" s="7" t="n">
        <v>151</v>
      </c>
      <c r="T263" s="5" t="s">
        <v>872</v>
      </c>
      <c r="U263" s="6" t="n">
        <v>72018.85</v>
      </c>
      <c r="V263" s="7" t="n">
        <v>4656</v>
      </c>
      <c r="W263" s="5" t="n">
        <v>34</v>
      </c>
      <c r="X263" s="7" t="n">
        <v>242</v>
      </c>
      <c r="Y263" s="7" t="n">
        <v>1052</v>
      </c>
      <c r="Z263" s="7" t="n">
        <v>46</v>
      </c>
      <c r="AA263" s="10" t="n">
        <v>6.22</v>
      </c>
      <c r="AB263" s="11" t="n">
        <v>58.99</v>
      </c>
      <c r="AC263" s="10" t="n">
        <v>8.1</v>
      </c>
      <c r="AD263" s="12" t="n">
        <v>0.85</v>
      </c>
      <c r="AE263" s="12" t="n">
        <v>0.87</v>
      </c>
      <c r="AF263" s="12" t="n">
        <v>1</v>
      </c>
      <c r="AG263" s="7" t="n">
        <v>49</v>
      </c>
      <c r="AH263" s="7" t="n">
        <v>1852</v>
      </c>
      <c r="AI263" s="5" t="s">
        <v>873</v>
      </c>
    </row>
    <row r="264" customFormat="false" ht="15" hidden="false" customHeight="false" outlineLevel="0" collapsed="false">
      <c r="A264" s="5" t="s">
        <v>210</v>
      </c>
      <c r="B264" s="5" t="s">
        <v>874</v>
      </c>
      <c r="C264" s="5" t="s">
        <v>875</v>
      </c>
      <c r="D264" s="5" t="s">
        <v>210</v>
      </c>
      <c r="E264" s="5" t="s">
        <v>53</v>
      </c>
      <c r="F264" s="6" t="n">
        <v>21100.15</v>
      </c>
      <c r="G264" s="7" t="n">
        <v>1300</v>
      </c>
      <c r="H264" s="8" t="n">
        <v>0.0621</v>
      </c>
      <c r="I264" s="8" t="n">
        <v>0.1454</v>
      </c>
      <c r="J264" s="7" t="n">
        <v>93</v>
      </c>
      <c r="K264" s="5" t="n">
        <v>10</v>
      </c>
      <c r="L264" s="5" t="n">
        <v>21</v>
      </c>
      <c r="M264" s="5" t="n">
        <v>3.8</v>
      </c>
      <c r="N264" s="9" t="s">
        <v>54</v>
      </c>
      <c r="O264" s="5"/>
      <c r="P264" s="5"/>
      <c r="Q264" s="5"/>
      <c r="R264" s="7"/>
      <c r="S264" s="7"/>
      <c r="T264" s="5"/>
      <c r="U264" s="6"/>
      <c r="V264" s="7"/>
      <c r="W264" s="5"/>
      <c r="X264" s="7"/>
      <c r="Y264" s="7"/>
      <c r="Z264" s="7"/>
      <c r="AA264" s="10"/>
      <c r="AB264" s="11"/>
      <c r="AC264" s="10"/>
      <c r="AD264" s="12"/>
      <c r="AE264" s="12"/>
      <c r="AF264" s="12"/>
      <c r="AG264" s="7"/>
      <c r="AH264" s="7"/>
      <c r="AI264" s="5" t="s">
        <v>876</v>
      </c>
    </row>
    <row r="265" customFormat="false" ht="15" hidden="false" customHeight="false" outlineLevel="0" collapsed="false">
      <c r="A265" s="5" t="s">
        <v>210</v>
      </c>
      <c r="B265" s="5" t="s">
        <v>877</v>
      </c>
      <c r="C265" s="5"/>
      <c r="D265" s="5" t="s">
        <v>210</v>
      </c>
      <c r="E265" s="5" t="s">
        <v>53</v>
      </c>
      <c r="F265" s="6" t="n">
        <v>21090.22</v>
      </c>
      <c r="G265" s="7" t="n">
        <v>477</v>
      </c>
      <c r="H265" s="8" t="n">
        <v>-0.4536</v>
      </c>
      <c r="I265" s="8" t="n">
        <v>-0.4308</v>
      </c>
      <c r="J265" s="7" t="n">
        <v>170</v>
      </c>
      <c r="K265" s="5" t="n">
        <v>11</v>
      </c>
      <c r="L265" s="5" t="n">
        <v>29</v>
      </c>
      <c r="M265" s="5" t="n">
        <v>3.6</v>
      </c>
      <c r="N265" s="9" t="s">
        <v>54</v>
      </c>
      <c r="O265" s="5"/>
      <c r="P265" s="5"/>
      <c r="Q265" s="5"/>
      <c r="R265" s="7"/>
      <c r="S265" s="7"/>
      <c r="T265" s="5"/>
      <c r="U265" s="6"/>
      <c r="V265" s="7"/>
      <c r="W265" s="5"/>
      <c r="X265" s="7"/>
      <c r="Y265" s="7"/>
      <c r="Z265" s="7"/>
      <c r="AA265" s="10"/>
      <c r="AB265" s="11"/>
      <c r="AC265" s="10"/>
      <c r="AD265" s="12"/>
      <c r="AE265" s="12"/>
      <c r="AF265" s="12"/>
      <c r="AG265" s="7"/>
      <c r="AH265" s="7"/>
      <c r="AI265" s="5" t="s">
        <v>878</v>
      </c>
    </row>
    <row r="266" customFormat="false" ht="15" hidden="false" customHeight="false" outlineLevel="0" collapsed="false">
      <c r="A266" s="5" t="s">
        <v>210</v>
      </c>
      <c r="B266" s="5" t="s">
        <v>879</v>
      </c>
      <c r="C266" s="5"/>
      <c r="D266" s="5" t="s">
        <v>210</v>
      </c>
      <c r="E266" s="5" t="s">
        <v>60</v>
      </c>
      <c r="F266" s="6" t="n">
        <v>20954.02</v>
      </c>
      <c r="G266" s="7" t="n">
        <v>1269</v>
      </c>
      <c r="H266" s="8" t="n">
        <v>-0.1051</v>
      </c>
      <c r="I266" s="8" t="n">
        <v>-0.2535</v>
      </c>
      <c r="J266" s="7" t="n">
        <v>57</v>
      </c>
      <c r="K266" s="5" t="n">
        <v>9</v>
      </c>
      <c r="L266" s="5" t="n">
        <v>99</v>
      </c>
      <c r="M266" s="5" t="n">
        <v>4</v>
      </c>
      <c r="N266" s="9" t="s">
        <v>54</v>
      </c>
      <c r="O266" s="5"/>
      <c r="P266" s="5" t="s">
        <v>880</v>
      </c>
      <c r="Q266" s="14" t="s">
        <v>881</v>
      </c>
      <c r="R266" s="7" t="n">
        <v>5136</v>
      </c>
      <c r="S266" s="7" t="n">
        <v>272</v>
      </c>
      <c r="T266" s="5" t="s">
        <v>882</v>
      </c>
      <c r="U266" s="6" t="n">
        <v>99446.13</v>
      </c>
      <c r="V266" s="7" t="n">
        <v>8578</v>
      </c>
      <c r="W266" s="5" t="n">
        <v>106</v>
      </c>
      <c r="X266" s="7" t="n">
        <v>156</v>
      </c>
      <c r="Y266" s="7" t="n">
        <v>363</v>
      </c>
      <c r="Z266" s="7" t="n">
        <v>29</v>
      </c>
      <c r="AA266" s="10" t="n">
        <v>6.9</v>
      </c>
      <c r="AB266" s="11" t="n">
        <v>269.34</v>
      </c>
      <c r="AC266" s="10" t="n">
        <v>13.34</v>
      </c>
      <c r="AD266" s="12"/>
      <c r="AE266" s="12"/>
      <c r="AF266" s="12"/>
      <c r="AG266" s="7" t="n">
        <v>59</v>
      </c>
      <c r="AH266" s="7" t="n">
        <v>2129</v>
      </c>
      <c r="AI266" s="5" t="s">
        <v>883</v>
      </c>
    </row>
    <row r="267" customFormat="false" ht="15" hidden="false" customHeight="false" outlineLevel="0" collapsed="false">
      <c r="A267" s="5" t="s">
        <v>210</v>
      </c>
      <c r="B267" s="5" t="s">
        <v>884</v>
      </c>
      <c r="C267" s="5" t="s">
        <v>885</v>
      </c>
      <c r="D267" s="5" t="s">
        <v>59</v>
      </c>
      <c r="E267" s="5" t="s">
        <v>53</v>
      </c>
      <c r="F267" s="6" t="n">
        <v>20932.85</v>
      </c>
      <c r="G267" s="7" t="n">
        <v>740</v>
      </c>
      <c r="H267" s="8" t="n">
        <v>1.1612</v>
      </c>
      <c r="I267" s="8" t="n">
        <v>0.7746</v>
      </c>
      <c r="J267" s="7" t="n">
        <v>182</v>
      </c>
      <c r="K267" s="5" t="n">
        <v>4</v>
      </c>
      <c r="L267" s="5" t="n">
        <v>30</v>
      </c>
      <c r="M267" s="5" t="n">
        <v>4.5</v>
      </c>
      <c r="N267" s="13" t="s">
        <v>61</v>
      </c>
      <c r="O267" s="5"/>
      <c r="P267" s="5"/>
      <c r="Q267" s="5"/>
      <c r="R267" s="7"/>
      <c r="S267" s="7"/>
      <c r="T267" s="5"/>
      <c r="U267" s="6"/>
      <c r="V267" s="7"/>
      <c r="W267" s="5"/>
      <c r="X267" s="7"/>
      <c r="Y267" s="7"/>
      <c r="Z267" s="7"/>
      <c r="AA267" s="10"/>
      <c r="AB267" s="11"/>
      <c r="AC267" s="10"/>
      <c r="AD267" s="12"/>
      <c r="AE267" s="12"/>
      <c r="AF267" s="12"/>
      <c r="AG267" s="7"/>
      <c r="AH267" s="7"/>
      <c r="AI267" s="5" t="s">
        <v>886</v>
      </c>
    </row>
    <row r="268" customFormat="false" ht="15" hidden="false" customHeight="false" outlineLevel="0" collapsed="false">
      <c r="A268" s="5" t="s">
        <v>210</v>
      </c>
      <c r="B268" s="5" t="s">
        <v>887</v>
      </c>
      <c r="C268" s="5" t="s">
        <v>888</v>
      </c>
      <c r="D268" s="5" t="s">
        <v>210</v>
      </c>
      <c r="E268" s="5" t="s">
        <v>53</v>
      </c>
      <c r="F268" s="6" t="n">
        <v>20835</v>
      </c>
      <c r="G268" s="7" t="n">
        <v>1231</v>
      </c>
      <c r="H268" s="8" t="n">
        <v>-0.0478</v>
      </c>
      <c r="I268" s="8" t="n">
        <v>-0.4529</v>
      </c>
      <c r="J268" s="7" t="n">
        <v>3</v>
      </c>
      <c r="K268" s="5" t="n">
        <v>3</v>
      </c>
      <c r="L268" s="5" t="n">
        <v>1</v>
      </c>
      <c r="M268" s="5" t="n">
        <v>3.1</v>
      </c>
      <c r="N268" s="9" t="s">
        <v>54</v>
      </c>
      <c r="O268" s="5"/>
      <c r="P268" s="5"/>
      <c r="Q268" s="5"/>
      <c r="R268" s="7"/>
      <c r="S268" s="7"/>
      <c r="T268" s="5"/>
      <c r="U268" s="6"/>
      <c r="V268" s="7"/>
      <c r="W268" s="5"/>
      <c r="X268" s="7"/>
      <c r="Y268" s="7"/>
      <c r="Z268" s="7"/>
      <c r="AA268" s="10"/>
      <c r="AB268" s="11"/>
      <c r="AC268" s="10"/>
      <c r="AD268" s="12"/>
      <c r="AE268" s="12"/>
      <c r="AF268" s="12"/>
      <c r="AG268" s="7"/>
      <c r="AH268" s="7"/>
      <c r="AI268" s="5" t="s">
        <v>889</v>
      </c>
    </row>
    <row r="269" customFormat="false" ht="15" hidden="false" customHeight="false" outlineLevel="0" collapsed="false">
      <c r="A269" s="5" t="s">
        <v>210</v>
      </c>
      <c r="B269" s="5" t="s">
        <v>890</v>
      </c>
      <c r="C269" s="5" t="s">
        <v>891</v>
      </c>
      <c r="D269" s="5" t="s">
        <v>59</v>
      </c>
      <c r="E269" s="5" t="s">
        <v>60</v>
      </c>
      <c r="F269" s="6" t="n">
        <v>20770.5</v>
      </c>
      <c r="G269" s="7" t="n">
        <v>1273</v>
      </c>
      <c r="H269" s="8" t="n">
        <v>-0.0515</v>
      </c>
      <c r="I269" s="8" t="n">
        <v>-0.2059</v>
      </c>
      <c r="J269" s="7" t="n">
        <v>32</v>
      </c>
      <c r="K269" s="5" t="n">
        <v>58</v>
      </c>
      <c r="L269" s="5" t="n">
        <v>1082</v>
      </c>
      <c r="M269" s="5" t="n">
        <v>4.3</v>
      </c>
      <c r="N269" s="15" t="s">
        <v>151</v>
      </c>
      <c r="O269" s="5" t="s">
        <v>892</v>
      </c>
      <c r="P269" s="5"/>
      <c r="Q269" s="5"/>
      <c r="R269" s="7"/>
      <c r="S269" s="7"/>
      <c r="T269" s="5"/>
      <c r="U269" s="6"/>
      <c r="V269" s="7"/>
      <c r="W269" s="5"/>
      <c r="X269" s="7"/>
      <c r="Y269" s="7"/>
      <c r="Z269" s="7"/>
      <c r="AA269" s="10"/>
      <c r="AB269" s="11"/>
      <c r="AC269" s="10"/>
      <c r="AD269" s="12"/>
      <c r="AE269" s="12"/>
      <c r="AF269" s="12"/>
      <c r="AG269" s="7"/>
      <c r="AH269" s="7"/>
      <c r="AI269" s="5" t="s">
        <v>893</v>
      </c>
    </row>
    <row r="270" customFormat="false" ht="15" hidden="false" customHeight="false" outlineLevel="0" collapsed="false">
      <c r="A270" s="5" t="s">
        <v>210</v>
      </c>
      <c r="B270" s="5" t="s">
        <v>894</v>
      </c>
      <c r="C270" s="5" t="s">
        <v>895</v>
      </c>
      <c r="D270" s="5" t="s">
        <v>210</v>
      </c>
      <c r="E270" s="5" t="s">
        <v>53</v>
      </c>
      <c r="F270" s="6" t="n">
        <v>20062.94</v>
      </c>
      <c r="G270" s="7" t="n">
        <v>2975</v>
      </c>
      <c r="H270" s="8" t="n">
        <v>0.2088</v>
      </c>
      <c r="I270" s="8" t="n">
        <v>-0.0265</v>
      </c>
      <c r="J270" s="7" t="n">
        <v>328</v>
      </c>
      <c r="K270" s="5" t="n">
        <v>57</v>
      </c>
      <c r="L270" s="5" t="n">
        <v>183</v>
      </c>
      <c r="M270" s="5" t="n">
        <v>4.7</v>
      </c>
      <c r="N270" s="9" t="s">
        <v>54</v>
      </c>
      <c r="O270" s="5"/>
      <c r="P270" s="5"/>
      <c r="Q270" s="5"/>
      <c r="R270" s="7"/>
      <c r="S270" s="7"/>
      <c r="T270" s="5"/>
      <c r="U270" s="6"/>
      <c r="V270" s="7"/>
      <c r="W270" s="5"/>
      <c r="X270" s="7"/>
      <c r="Y270" s="7"/>
      <c r="Z270" s="7"/>
      <c r="AA270" s="10"/>
      <c r="AB270" s="11"/>
      <c r="AC270" s="10"/>
      <c r="AD270" s="12"/>
      <c r="AE270" s="12"/>
      <c r="AF270" s="12"/>
      <c r="AG270" s="7"/>
      <c r="AH270" s="7"/>
      <c r="AI270" s="5" t="s">
        <v>896</v>
      </c>
    </row>
    <row r="271" customFormat="false" ht="15" hidden="false" customHeight="false" outlineLevel="0" collapsed="false">
      <c r="A271" s="5" t="s">
        <v>210</v>
      </c>
      <c r="B271" s="5" t="s">
        <v>897</v>
      </c>
      <c r="C271" s="5" t="s">
        <v>898</v>
      </c>
      <c r="D271" s="5" t="s">
        <v>59</v>
      </c>
      <c r="E271" s="5" t="s">
        <v>60</v>
      </c>
      <c r="F271" s="6" t="n">
        <v>19632.94</v>
      </c>
      <c r="G271" s="7" t="n">
        <v>903</v>
      </c>
      <c r="H271" s="8" t="n">
        <v>-0.2255</v>
      </c>
      <c r="I271" s="8" t="n">
        <v>-0.2531</v>
      </c>
      <c r="J271" s="7" t="n">
        <v>213</v>
      </c>
      <c r="K271" s="5" t="n">
        <v>67</v>
      </c>
      <c r="L271" s="5" t="n">
        <v>2388</v>
      </c>
      <c r="M271" s="5" t="n">
        <v>4</v>
      </c>
      <c r="N271" s="13" t="s">
        <v>61</v>
      </c>
      <c r="O271" s="5"/>
      <c r="P271" s="5"/>
      <c r="Q271" s="5"/>
      <c r="R271" s="7"/>
      <c r="S271" s="7"/>
      <c r="T271" s="5"/>
      <c r="U271" s="6"/>
      <c r="V271" s="7"/>
      <c r="W271" s="5"/>
      <c r="X271" s="7"/>
      <c r="Y271" s="7"/>
      <c r="Z271" s="7"/>
      <c r="AA271" s="10"/>
      <c r="AB271" s="11"/>
      <c r="AC271" s="10"/>
      <c r="AD271" s="12"/>
      <c r="AE271" s="12"/>
      <c r="AF271" s="12"/>
      <c r="AG271" s="7"/>
      <c r="AH271" s="7"/>
      <c r="AI271" s="5" t="s">
        <v>899</v>
      </c>
    </row>
    <row r="272" customFormat="false" ht="15" hidden="false" customHeight="false" outlineLevel="0" collapsed="false">
      <c r="A272" s="5" t="s">
        <v>210</v>
      </c>
      <c r="B272" s="5" t="s">
        <v>900</v>
      </c>
      <c r="C272" s="5" t="s">
        <v>901</v>
      </c>
      <c r="D272" s="5" t="s">
        <v>210</v>
      </c>
      <c r="E272" s="5" t="s">
        <v>60</v>
      </c>
      <c r="F272" s="6" t="n">
        <v>19604.88</v>
      </c>
      <c r="G272" s="7" t="n">
        <v>2113</v>
      </c>
      <c r="H272" s="8" t="n">
        <v>0.1898</v>
      </c>
      <c r="I272" s="8" t="n">
        <v>0.1951</v>
      </c>
      <c r="J272" s="7" t="n">
        <v>127</v>
      </c>
      <c r="K272" s="5" t="n">
        <v>19</v>
      </c>
      <c r="L272" s="5" t="n">
        <v>127</v>
      </c>
      <c r="M272" s="5" t="n">
        <v>4.6</v>
      </c>
      <c r="N272" s="9" t="s">
        <v>54</v>
      </c>
      <c r="O272" s="5"/>
      <c r="P272" s="5"/>
      <c r="Q272" s="5"/>
      <c r="R272" s="7"/>
      <c r="S272" s="7"/>
      <c r="T272" s="5"/>
      <c r="U272" s="6"/>
      <c r="V272" s="7"/>
      <c r="W272" s="5"/>
      <c r="X272" s="7"/>
      <c r="Y272" s="7"/>
      <c r="Z272" s="7"/>
      <c r="AA272" s="10"/>
      <c r="AB272" s="11"/>
      <c r="AC272" s="10"/>
      <c r="AD272" s="12"/>
      <c r="AE272" s="12"/>
      <c r="AF272" s="12"/>
      <c r="AG272" s="7"/>
      <c r="AH272" s="7"/>
      <c r="AI272" s="5" t="s">
        <v>902</v>
      </c>
    </row>
    <row r="273" customFormat="false" ht="15" hidden="false" customHeight="false" outlineLevel="0" collapsed="false">
      <c r="A273" s="5" t="s">
        <v>210</v>
      </c>
      <c r="B273" s="5" t="s">
        <v>903</v>
      </c>
      <c r="C273" s="5"/>
      <c r="D273" s="5" t="s">
        <v>210</v>
      </c>
      <c r="E273" s="5" t="s">
        <v>53</v>
      </c>
      <c r="F273" s="6" t="n">
        <v>18658.97</v>
      </c>
      <c r="G273" s="7" t="n">
        <v>712</v>
      </c>
      <c r="H273" s="8" t="n">
        <v>-0.1611</v>
      </c>
      <c r="I273" s="8" t="n">
        <v>-0.1891</v>
      </c>
      <c r="J273" s="7" t="n">
        <v>102</v>
      </c>
      <c r="K273" s="5" t="n">
        <v>14</v>
      </c>
      <c r="L273" s="5" t="n">
        <v>51</v>
      </c>
      <c r="M273" s="5" t="n">
        <v>2.1</v>
      </c>
      <c r="N273" s="9" t="s">
        <v>54</v>
      </c>
      <c r="O273" s="5"/>
      <c r="P273" s="5"/>
      <c r="Q273" s="5"/>
      <c r="R273" s="7"/>
      <c r="S273" s="7"/>
      <c r="T273" s="5"/>
      <c r="U273" s="6"/>
      <c r="V273" s="7"/>
      <c r="W273" s="5"/>
      <c r="X273" s="7"/>
      <c r="Y273" s="7"/>
      <c r="Z273" s="7"/>
      <c r="AA273" s="10"/>
      <c r="AB273" s="11"/>
      <c r="AC273" s="10"/>
      <c r="AD273" s="12"/>
      <c r="AE273" s="12"/>
      <c r="AF273" s="12"/>
      <c r="AG273" s="7"/>
      <c r="AH273" s="7"/>
      <c r="AI273" s="5" t="s">
        <v>904</v>
      </c>
    </row>
    <row r="274" customFormat="false" ht="15" hidden="false" customHeight="false" outlineLevel="0" collapsed="false">
      <c r="A274" s="5" t="s">
        <v>210</v>
      </c>
      <c r="B274" s="5" t="s">
        <v>905</v>
      </c>
      <c r="C274" s="5" t="s">
        <v>906</v>
      </c>
      <c r="D274" s="5" t="s">
        <v>210</v>
      </c>
      <c r="E274" s="5" t="s">
        <v>60</v>
      </c>
      <c r="F274" s="6" t="n">
        <v>18477.51</v>
      </c>
      <c r="G274" s="7" t="n">
        <v>1085</v>
      </c>
      <c r="H274" s="8" t="n">
        <v>0.22</v>
      </c>
      <c r="I274" s="8" t="n">
        <v>0.0637</v>
      </c>
      <c r="J274" s="7" t="n">
        <v>95</v>
      </c>
      <c r="K274" s="5" t="n">
        <v>1</v>
      </c>
      <c r="L274" s="5" t="n">
        <v>61</v>
      </c>
      <c r="M274" s="5" t="n">
        <v>4.2</v>
      </c>
      <c r="N274" s="9" t="s">
        <v>54</v>
      </c>
      <c r="O274" s="5"/>
      <c r="P274" s="5"/>
      <c r="Q274" s="5"/>
      <c r="R274" s="7"/>
      <c r="S274" s="7"/>
      <c r="T274" s="5"/>
      <c r="U274" s="6"/>
      <c r="V274" s="7"/>
      <c r="W274" s="5"/>
      <c r="X274" s="7"/>
      <c r="Y274" s="7"/>
      <c r="Z274" s="7"/>
      <c r="AA274" s="10"/>
      <c r="AB274" s="11"/>
      <c r="AC274" s="10"/>
      <c r="AD274" s="12"/>
      <c r="AE274" s="12"/>
      <c r="AF274" s="12"/>
      <c r="AG274" s="7"/>
      <c r="AH274" s="7"/>
      <c r="AI274" s="5" t="s">
        <v>907</v>
      </c>
    </row>
    <row r="275" customFormat="false" ht="15" hidden="false" customHeight="false" outlineLevel="0" collapsed="false">
      <c r="A275" s="5" t="s">
        <v>210</v>
      </c>
      <c r="B275" s="5" t="s">
        <v>908</v>
      </c>
      <c r="C275" s="5" t="s">
        <v>909</v>
      </c>
      <c r="D275" s="5" t="s">
        <v>210</v>
      </c>
      <c r="E275" s="5" t="s">
        <v>53</v>
      </c>
      <c r="F275" s="6" t="n">
        <v>18145.89</v>
      </c>
      <c r="G275" s="7" t="n">
        <v>657</v>
      </c>
      <c r="H275" s="8" t="n">
        <v>-0.0715</v>
      </c>
      <c r="I275" s="8" t="n">
        <v>-0.0681</v>
      </c>
      <c r="J275" s="7" t="n">
        <v>88</v>
      </c>
      <c r="K275" s="5" t="n">
        <v>9</v>
      </c>
      <c r="L275" s="5" t="n">
        <v>9</v>
      </c>
      <c r="M275" s="5" t="n">
        <v>4.2</v>
      </c>
      <c r="N275" s="9" t="s">
        <v>54</v>
      </c>
      <c r="O275" s="5"/>
      <c r="P275" s="5"/>
      <c r="Q275" s="5"/>
      <c r="R275" s="7"/>
      <c r="S275" s="7"/>
      <c r="T275" s="5"/>
      <c r="U275" s="6"/>
      <c r="V275" s="7"/>
      <c r="W275" s="5"/>
      <c r="X275" s="7"/>
      <c r="Y275" s="7"/>
      <c r="Z275" s="7"/>
      <c r="AA275" s="10"/>
      <c r="AB275" s="11"/>
      <c r="AC275" s="10"/>
      <c r="AD275" s="12"/>
      <c r="AE275" s="12"/>
      <c r="AF275" s="12"/>
      <c r="AG275" s="7"/>
      <c r="AH275" s="7"/>
      <c r="AI275" s="5" t="s">
        <v>910</v>
      </c>
    </row>
    <row r="276" customFormat="false" ht="15" hidden="false" customHeight="false" outlineLevel="0" collapsed="false">
      <c r="A276" s="5" t="s">
        <v>210</v>
      </c>
      <c r="B276" s="5" t="s">
        <v>911</v>
      </c>
      <c r="C276" s="5" t="s">
        <v>912</v>
      </c>
      <c r="D276" s="5" t="s">
        <v>210</v>
      </c>
      <c r="E276" s="5" t="s">
        <v>60</v>
      </c>
      <c r="F276" s="6" t="n">
        <v>17861.77</v>
      </c>
      <c r="G276" s="7" t="n">
        <v>939</v>
      </c>
      <c r="H276" s="8" t="n">
        <v>-0.3807</v>
      </c>
      <c r="I276" s="8" t="n">
        <v>-0.4049</v>
      </c>
      <c r="J276" s="7" t="n">
        <v>109</v>
      </c>
      <c r="K276" s="5" t="n">
        <v>3</v>
      </c>
      <c r="L276" s="5" t="n">
        <v>73</v>
      </c>
      <c r="M276" s="5" t="n">
        <v>3.1</v>
      </c>
      <c r="N276" s="9" t="s">
        <v>54</v>
      </c>
      <c r="O276" s="5"/>
      <c r="P276" s="5"/>
      <c r="Q276" s="5"/>
      <c r="R276" s="7"/>
      <c r="S276" s="7"/>
      <c r="T276" s="5"/>
      <c r="U276" s="6"/>
      <c r="V276" s="7"/>
      <c r="W276" s="5"/>
      <c r="X276" s="7"/>
      <c r="Y276" s="7"/>
      <c r="Z276" s="7"/>
      <c r="AA276" s="10"/>
      <c r="AB276" s="11"/>
      <c r="AC276" s="10"/>
      <c r="AD276" s="12"/>
      <c r="AE276" s="12"/>
      <c r="AF276" s="12"/>
      <c r="AG276" s="7"/>
      <c r="AH276" s="7"/>
      <c r="AI276" s="5" t="s">
        <v>913</v>
      </c>
    </row>
    <row r="277" customFormat="false" ht="15" hidden="false" customHeight="false" outlineLevel="0" collapsed="false">
      <c r="A277" s="5" t="s">
        <v>59</v>
      </c>
      <c r="B277" s="5" t="s">
        <v>914</v>
      </c>
      <c r="C277" s="5" t="s">
        <v>915</v>
      </c>
      <c r="D277" s="5" t="s">
        <v>210</v>
      </c>
      <c r="E277" s="5" t="s">
        <v>60</v>
      </c>
      <c r="F277" s="6" t="n">
        <v>21000.42</v>
      </c>
      <c r="G277" s="7" t="n">
        <v>1834</v>
      </c>
      <c r="H277" s="8" t="n">
        <v>0.1932</v>
      </c>
      <c r="I277" s="8" t="n">
        <v>-0.1731</v>
      </c>
      <c r="J277" s="7" t="n">
        <v>274</v>
      </c>
      <c r="K277" s="5" t="n">
        <v>50</v>
      </c>
      <c r="L277" s="5" t="n">
        <v>398</v>
      </c>
      <c r="M277" s="5" t="n">
        <v>3.6</v>
      </c>
      <c r="N277" s="13" t="s">
        <v>61</v>
      </c>
      <c r="O277" s="5"/>
      <c r="P277" s="5"/>
      <c r="Q277" s="5"/>
      <c r="R277" s="7"/>
      <c r="S277" s="7"/>
      <c r="T277" s="5"/>
      <c r="U277" s="6"/>
      <c r="V277" s="7"/>
      <c r="W277" s="5"/>
      <c r="X277" s="7"/>
      <c r="Y277" s="7"/>
      <c r="Z277" s="7"/>
      <c r="AA277" s="10"/>
      <c r="AB277" s="11"/>
      <c r="AC277" s="10"/>
      <c r="AD277" s="12"/>
      <c r="AE277" s="12"/>
      <c r="AF277" s="12"/>
      <c r="AG277" s="7"/>
      <c r="AH277" s="7"/>
      <c r="AI277" s="5" t="s">
        <v>916</v>
      </c>
    </row>
    <row r="278" customFormat="false" ht="15" hidden="false" customHeight="false" outlineLevel="0" collapsed="false">
      <c r="A278" s="5" t="s">
        <v>59</v>
      </c>
      <c r="B278" s="5" t="s">
        <v>917</v>
      </c>
      <c r="C278" s="5" t="s">
        <v>917</v>
      </c>
      <c r="D278" s="5" t="s">
        <v>677</v>
      </c>
      <c r="E278" s="5" t="s">
        <v>60</v>
      </c>
      <c r="F278" s="6" t="n">
        <v>20895.05</v>
      </c>
      <c r="G278" s="7" t="n">
        <v>1521</v>
      </c>
      <c r="H278" s="8" t="n">
        <v>0.3186</v>
      </c>
      <c r="I278" s="8" t="n">
        <v>0.2643</v>
      </c>
      <c r="J278" s="7" t="n">
        <v>185</v>
      </c>
      <c r="K278" s="5" t="n">
        <v>62</v>
      </c>
      <c r="L278" s="5" t="n">
        <v>714</v>
      </c>
      <c r="M278" s="5" t="n">
        <v>4.7</v>
      </c>
      <c r="N278" s="13" t="s">
        <v>61</v>
      </c>
      <c r="O278" s="5"/>
      <c r="P278" s="5"/>
      <c r="Q278" s="5"/>
      <c r="R278" s="7"/>
      <c r="S278" s="7"/>
      <c r="T278" s="5"/>
      <c r="U278" s="6"/>
      <c r="V278" s="7"/>
      <c r="W278" s="5"/>
      <c r="X278" s="7"/>
      <c r="Y278" s="7"/>
      <c r="Z278" s="7"/>
      <c r="AA278" s="10"/>
      <c r="AB278" s="11"/>
      <c r="AC278" s="10"/>
      <c r="AD278" s="12"/>
      <c r="AE278" s="12"/>
      <c r="AF278" s="12"/>
      <c r="AG278" s="7"/>
      <c r="AH278" s="7"/>
      <c r="AI278" s="5" t="s">
        <v>918</v>
      </c>
    </row>
    <row r="279" customFormat="false" ht="15" hidden="false" customHeight="false" outlineLevel="0" collapsed="false">
      <c r="A279" s="5" t="s">
        <v>59</v>
      </c>
      <c r="B279" s="5" t="s">
        <v>919</v>
      </c>
      <c r="C279" s="5" t="s">
        <v>920</v>
      </c>
      <c r="D279" s="5" t="s">
        <v>59</v>
      </c>
      <c r="E279" s="5" t="s">
        <v>60</v>
      </c>
      <c r="F279" s="6" t="n">
        <v>20853.61</v>
      </c>
      <c r="G279" s="7" t="n">
        <v>713</v>
      </c>
      <c r="H279" s="8" t="n">
        <v>1.3011</v>
      </c>
      <c r="I279" s="8" t="n">
        <v>0.8329</v>
      </c>
      <c r="J279" s="7" t="n">
        <v>61</v>
      </c>
      <c r="K279" s="5" t="n">
        <v>48</v>
      </c>
      <c r="L279" s="5" t="n">
        <v>97</v>
      </c>
      <c r="M279" s="5" t="n">
        <v>4.4</v>
      </c>
      <c r="N279" s="9" t="s">
        <v>54</v>
      </c>
      <c r="O279" s="5"/>
      <c r="P279" s="5"/>
      <c r="Q279" s="5"/>
      <c r="R279" s="7"/>
      <c r="S279" s="7"/>
      <c r="T279" s="5"/>
      <c r="U279" s="6"/>
      <c r="V279" s="7"/>
      <c r="W279" s="5"/>
      <c r="X279" s="7"/>
      <c r="Y279" s="7"/>
      <c r="Z279" s="7"/>
      <c r="AA279" s="10"/>
      <c r="AB279" s="11"/>
      <c r="AC279" s="10"/>
      <c r="AD279" s="12"/>
      <c r="AE279" s="12"/>
      <c r="AF279" s="12"/>
      <c r="AG279" s="7"/>
      <c r="AH279" s="7"/>
      <c r="AI279" s="5" t="s">
        <v>921</v>
      </c>
    </row>
    <row r="280" customFormat="false" ht="15" hidden="false" customHeight="false" outlineLevel="0" collapsed="false">
      <c r="A280" s="5" t="s">
        <v>59</v>
      </c>
      <c r="B280" s="5" t="s">
        <v>922</v>
      </c>
      <c r="C280" s="5" t="s">
        <v>923</v>
      </c>
      <c r="D280" s="5" t="s">
        <v>59</v>
      </c>
      <c r="E280" s="5" t="s">
        <v>60</v>
      </c>
      <c r="F280" s="6" t="n">
        <v>20520.64</v>
      </c>
      <c r="G280" s="7" t="n">
        <v>651</v>
      </c>
      <c r="H280" s="8" t="n">
        <v>-0.4774</v>
      </c>
      <c r="I280" s="8" t="n">
        <v>-0.558</v>
      </c>
      <c r="J280" s="7" t="n">
        <v>188</v>
      </c>
      <c r="K280" s="5" t="n">
        <v>15</v>
      </c>
      <c r="L280" s="5" t="n">
        <v>193</v>
      </c>
      <c r="M280" s="5" t="n">
        <v>4</v>
      </c>
      <c r="N280" s="9" t="s">
        <v>54</v>
      </c>
      <c r="O280" s="5"/>
      <c r="P280" s="5" t="s">
        <v>924</v>
      </c>
      <c r="Q280" s="14" t="s">
        <v>925</v>
      </c>
      <c r="R280" s="7" t="n">
        <v>14558</v>
      </c>
      <c r="S280" s="7" t="n">
        <v>828</v>
      </c>
      <c r="T280" s="5" t="s">
        <v>926</v>
      </c>
      <c r="U280" s="6" t="n">
        <v>470480.93</v>
      </c>
      <c r="V280" s="7" t="n">
        <v>19897</v>
      </c>
      <c r="W280" s="5" t="n">
        <v>337</v>
      </c>
      <c r="X280" s="7" t="n">
        <v>664</v>
      </c>
      <c r="Y280" s="7" t="n">
        <v>3374</v>
      </c>
      <c r="Z280" s="7" t="n">
        <v>504</v>
      </c>
      <c r="AA280" s="10" t="n">
        <v>8.4</v>
      </c>
      <c r="AB280" s="11" t="n">
        <v>166.55</v>
      </c>
      <c r="AC280" s="10" t="n">
        <v>28.31</v>
      </c>
      <c r="AD280" s="12" t="n">
        <v>0.63</v>
      </c>
      <c r="AE280" s="12" t="n">
        <v>0.93</v>
      </c>
      <c r="AF280" s="12" t="n">
        <v>1</v>
      </c>
      <c r="AG280" s="7" t="n">
        <v>146</v>
      </c>
      <c r="AH280" s="7" t="n">
        <v>1950</v>
      </c>
      <c r="AI280" s="5" t="s">
        <v>927</v>
      </c>
    </row>
    <row r="281" customFormat="false" ht="15" hidden="false" customHeight="false" outlineLevel="0" collapsed="false">
      <c r="A281" s="5" t="s">
        <v>59</v>
      </c>
      <c r="B281" s="5" t="s">
        <v>928</v>
      </c>
      <c r="C281" s="5"/>
      <c r="D281" s="5" t="s">
        <v>59</v>
      </c>
      <c r="E281" s="5" t="s">
        <v>53</v>
      </c>
      <c r="F281" s="6" t="n">
        <v>20339.46</v>
      </c>
      <c r="G281" s="7" t="n">
        <v>1587</v>
      </c>
      <c r="H281" s="8" t="n">
        <v>-0.5983</v>
      </c>
      <c r="I281" s="8" t="n">
        <v>-0.5629</v>
      </c>
      <c r="J281" s="7" t="n">
        <v>178</v>
      </c>
      <c r="K281" s="5" t="n">
        <v>69</v>
      </c>
      <c r="L281" s="5" t="n">
        <v>426</v>
      </c>
      <c r="M281" s="5" t="n">
        <v>4.4</v>
      </c>
      <c r="N281" s="9" t="s">
        <v>54</v>
      </c>
      <c r="O281" s="5"/>
      <c r="P281" s="5"/>
      <c r="Q281" s="5"/>
      <c r="R281" s="7"/>
      <c r="S281" s="7"/>
      <c r="T281" s="5"/>
      <c r="U281" s="6"/>
      <c r="V281" s="7"/>
      <c r="W281" s="5"/>
      <c r="X281" s="7"/>
      <c r="Y281" s="7"/>
      <c r="Z281" s="7"/>
      <c r="AA281" s="10"/>
      <c r="AB281" s="11"/>
      <c r="AC281" s="10"/>
      <c r="AD281" s="12"/>
      <c r="AE281" s="12"/>
      <c r="AF281" s="12"/>
      <c r="AG281" s="7"/>
      <c r="AH281" s="7"/>
      <c r="AI281" s="5" t="s">
        <v>929</v>
      </c>
    </row>
    <row r="282" customFormat="false" ht="15" hidden="false" customHeight="false" outlineLevel="0" collapsed="false">
      <c r="A282" s="5" t="s">
        <v>59</v>
      </c>
      <c r="B282" s="5" t="s">
        <v>930</v>
      </c>
      <c r="C282" s="5" t="s">
        <v>930</v>
      </c>
      <c r="D282" s="5" t="s">
        <v>59</v>
      </c>
      <c r="E282" s="5" t="s">
        <v>60</v>
      </c>
      <c r="F282" s="6" t="n">
        <v>20286.78</v>
      </c>
      <c r="G282" s="7" t="n">
        <v>1142</v>
      </c>
      <c r="H282" s="8" t="n">
        <v>0.1983</v>
      </c>
      <c r="I282" s="8" t="n">
        <v>0.0876</v>
      </c>
      <c r="J282" s="7" t="n">
        <v>153</v>
      </c>
      <c r="K282" s="5" t="n">
        <v>26</v>
      </c>
      <c r="L282" s="5" t="n">
        <v>483</v>
      </c>
      <c r="M282" s="5" t="n">
        <v>4.1</v>
      </c>
      <c r="N282" s="9" t="s">
        <v>54</v>
      </c>
      <c r="O282" s="5"/>
      <c r="P282" s="5"/>
      <c r="Q282" s="5"/>
      <c r="R282" s="7"/>
      <c r="S282" s="7"/>
      <c r="T282" s="5"/>
      <c r="U282" s="6"/>
      <c r="V282" s="7"/>
      <c r="W282" s="5"/>
      <c r="X282" s="7"/>
      <c r="Y282" s="7"/>
      <c r="Z282" s="7"/>
      <c r="AA282" s="10"/>
      <c r="AB282" s="11"/>
      <c r="AC282" s="10"/>
      <c r="AD282" s="12"/>
      <c r="AE282" s="12"/>
      <c r="AF282" s="12"/>
      <c r="AG282" s="7"/>
      <c r="AH282" s="7"/>
      <c r="AI282" s="5" t="s">
        <v>931</v>
      </c>
    </row>
    <row r="283" customFormat="false" ht="15" hidden="false" customHeight="false" outlineLevel="0" collapsed="false">
      <c r="A283" s="5" t="s">
        <v>59</v>
      </c>
      <c r="B283" s="5" t="s">
        <v>932</v>
      </c>
      <c r="C283" s="5" t="s">
        <v>933</v>
      </c>
      <c r="D283" s="5" t="s">
        <v>59</v>
      </c>
      <c r="E283" s="5" t="s">
        <v>60</v>
      </c>
      <c r="F283" s="6" t="n">
        <v>20211.43</v>
      </c>
      <c r="G283" s="7" t="n">
        <v>1081</v>
      </c>
      <c r="H283" s="8" t="n">
        <v>1.764</v>
      </c>
      <c r="I283" s="8" t="n">
        <v>0.9304</v>
      </c>
      <c r="J283" s="7" t="n">
        <v>231</v>
      </c>
      <c r="K283" s="5" t="n">
        <v>31</v>
      </c>
      <c r="L283" s="5" t="n">
        <v>355</v>
      </c>
      <c r="M283" s="5" t="n">
        <v>3.9</v>
      </c>
      <c r="N283" s="9" t="s">
        <v>54</v>
      </c>
      <c r="O283" s="5"/>
      <c r="P283" s="5" t="s">
        <v>934</v>
      </c>
      <c r="Q283" s="14" t="s">
        <v>935</v>
      </c>
      <c r="R283" s="7" t="n">
        <v>2807</v>
      </c>
      <c r="S283" s="7" t="n">
        <v>122</v>
      </c>
      <c r="T283" s="5" t="s">
        <v>936</v>
      </c>
      <c r="U283" s="6" t="n">
        <v>1773689.27</v>
      </c>
      <c r="V283" s="7" t="n">
        <v>136451</v>
      </c>
      <c r="W283" s="5" t="n">
        <v>1448</v>
      </c>
      <c r="X283" s="7" t="n">
        <v>2877</v>
      </c>
      <c r="Y283" s="7" t="n">
        <v>7379</v>
      </c>
      <c r="Z283" s="7" t="n">
        <v>2318</v>
      </c>
      <c r="AA283" s="10" t="n">
        <v>1.99</v>
      </c>
      <c r="AB283" s="11" t="n">
        <v>883</v>
      </c>
      <c r="AC283" s="10" t="n">
        <v>13.46</v>
      </c>
      <c r="AD283" s="12" t="n">
        <v>0.86</v>
      </c>
      <c r="AE283" s="12" t="n">
        <v>0.81</v>
      </c>
      <c r="AF283" s="12" t="n">
        <v>0.98</v>
      </c>
      <c r="AG283" s="7" t="n">
        <v>202</v>
      </c>
      <c r="AH283" s="7" t="n">
        <v>1117</v>
      </c>
      <c r="AI283" s="5" t="s">
        <v>937</v>
      </c>
    </row>
    <row r="284" customFormat="false" ht="15" hidden="false" customHeight="false" outlineLevel="0" collapsed="false">
      <c r="A284" s="5" t="s">
        <v>59</v>
      </c>
      <c r="B284" s="5" t="s">
        <v>938</v>
      </c>
      <c r="C284" s="5" t="s">
        <v>938</v>
      </c>
      <c r="D284" s="5" t="s">
        <v>59</v>
      </c>
      <c r="E284" s="5" t="s">
        <v>60</v>
      </c>
      <c r="F284" s="6" t="n">
        <v>20097.28</v>
      </c>
      <c r="G284" s="7" t="n">
        <v>2748</v>
      </c>
      <c r="H284" s="8" t="n">
        <v>1.4862</v>
      </c>
      <c r="I284" s="8" t="n">
        <v>1.7127</v>
      </c>
      <c r="J284" s="7" t="n">
        <v>198</v>
      </c>
      <c r="K284" s="5" t="n">
        <v>11</v>
      </c>
      <c r="L284" s="5" t="n">
        <v>30</v>
      </c>
      <c r="M284" s="5" t="n">
        <v>1.9</v>
      </c>
      <c r="N284" s="9" t="s">
        <v>54</v>
      </c>
      <c r="O284" s="5"/>
      <c r="P284" s="5" t="s">
        <v>939</v>
      </c>
      <c r="Q284" s="14" t="s">
        <v>940</v>
      </c>
      <c r="R284" s="7" t="n">
        <v>4751</v>
      </c>
      <c r="S284" s="7" t="n">
        <v>0</v>
      </c>
      <c r="T284" s="5" t="s">
        <v>941</v>
      </c>
      <c r="U284" s="6" t="n">
        <v>2780264.48</v>
      </c>
      <c r="V284" s="7" t="n">
        <v>335926</v>
      </c>
      <c r="W284" s="5" t="n">
        <v>588</v>
      </c>
      <c r="X284" s="7" t="n">
        <v>4861</v>
      </c>
      <c r="Y284" s="7" t="n">
        <v>6080</v>
      </c>
      <c r="Z284" s="7" t="n">
        <v>2615</v>
      </c>
      <c r="AA284" s="10" t="n">
        <v>0.45</v>
      </c>
      <c r="AB284" s="11" t="n">
        <v>169.99</v>
      </c>
      <c r="AC284" s="10" t="n">
        <v>6.17</v>
      </c>
      <c r="AD284" s="12" t="n">
        <v>0.61</v>
      </c>
      <c r="AE284" s="12" t="n">
        <v>0.75</v>
      </c>
      <c r="AF284" s="12" t="n">
        <v>0.89</v>
      </c>
      <c r="AG284" s="7" t="n">
        <v>118</v>
      </c>
      <c r="AH284" s="7" t="n">
        <v>1625</v>
      </c>
      <c r="AI284" s="5" t="s">
        <v>942</v>
      </c>
    </row>
    <row r="285" customFormat="false" ht="15" hidden="false" customHeight="false" outlineLevel="0" collapsed="false">
      <c r="A285" s="5" t="s">
        <v>59</v>
      </c>
      <c r="B285" s="5" t="s">
        <v>943</v>
      </c>
      <c r="C285" s="5" t="s">
        <v>944</v>
      </c>
      <c r="D285" s="5" t="s">
        <v>446</v>
      </c>
      <c r="E285" s="5" t="s">
        <v>60</v>
      </c>
      <c r="F285" s="6" t="n">
        <v>19991.99</v>
      </c>
      <c r="G285" s="7" t="n">
        <v>1716</v>
      </c>
      <c r="H285" s="8" t="n">
        <v>2.5955</v>
      </c>
      <c r="I285" s="8" t="n">
        <v>2.3385</v>
      </c>
      <c r="J285" s="7" t="n">
        <v>133</v>
      </c>
      <c r="K285" s="5" t="n">
        <v>36</v>
      </c>
      <c r="L285" s="5" t="n">
        <v>322</v>
      </c>
      <c r="M285" s="5" t="n">
        <v>4.4</v>
      </c>
      <c r="N285" s="15" t="s">
        <v>151</v>
      </c>
      <c r="O285" s="5" t="s">
        <v>945</v>
      </c>
      <c r="P285" s="5"/>
      <c r="Q285" s="5"/>
      <c r="R285" s="7"/>
      <c r="S285" s="7"/>
      <c r="T285" s="5"/>
      <c r="U285" s="6"/>
      <c r="V285" s="7"/>
      <c r="W285" s="5"/>
      <c r="X285" s="7"/>
      <c r="Y285" s="7"/>
      <c r="Z285" s="7"/>
      <c r="AA285" s="10"/>
      <c r="AB285" s="11"/>
      <c r="AC285" s="10"/>
      <c r="AD285" s="12"/>
      <c r="AE285" s="12"/>
      <c r="AF285" s="12"/>
      <c r="AG285" s="7"/>
      <c r="AH285" s="7"/>
      <c r="AI285" s="5" t="s">
        <v>946</v>
      </c>
    </row>
    <row r="286" customFormat="false" ht="15" hidden="false" customHeight="false" outlineLevel="0" collapsed="false">
      <c r="A286" s="5" t="s">
        <v>59</v>
      </c>
      <c r="B286" s="5" t="s">
        <v>947</v>
      </c>
      <c r="C286" s="5" t="s">
        <v>948</v>
      </c>
      <c r="D286" s="5" t="s">
        <v>59</v>
      </c>
      <c r="E286" s="5" t="s">
        <v>53</v>
      </c>
      <c r="F286" s="6" t="n">
        <v>19736.15</v>
      </c>
      <c r="G286" s="7" t="n">
        <v>7682</v>
      </c>
      <c r="H286" s="8" t="n">
        <v>0.056</v>
      </c>
      <c r="I286" s="8" t="n">
        <v>-0.0018</v>
      </c>
      <c r="J286" s="7" t="n">
        <v>460</v>
      </c>
      <c r="K286" s="5" t="n">
        <v>38</v>
      </c>
      <c r="L286" s="5" t="n">
        <v>43</v>
      </c>
      <c r="M286" s="5" t="n">
        <v>5</v>
      </c>
      <c r="N286" s="9" t="s">
        <v>54</v>
      </c>
      <c r="O286" s="5"/>
      <c r="P286" s="5"/>
      <c r="Q286" s="5"/>
      <c r="R286" s="7"/>
      <c r="S286" s="7"/>
      <c r="T286" s="5"/>
      <c r="U286" s="6"/>
      <c r="V286" s="7"/>
      <c r="W286" s="5"/>
      <c r="X286" s="7"/>
      <c r="Y286" s="7"/>
      <c r="Z286" s="7"/>
      <c r="AA286" s="10"/>
      <c r="AB286" s="11"/>
      <c r="AC286" s="10"/>
      <c r="AD286" s="12"/>
      <c r="AE286" s="12"/>
      <c r="AF286" s="12"/>
      <c r="AG286" s="7"/>
      <c r="AH286" s="7"/>
      <c r="AI286" s="5" t="s">
        <v>949</v>
      </c>
    </row>
    <row r="287" customFormat="false" ht="15" hidden="false" customHeight="false" outlineLevel="0" collapsed="false">
      <c r="A287" s="5" t="s">
        <v>59</v>
      </c>
      <c r="B287" s="5" t="s">
        <v>950</v>
      </c>
      <c r="C287" s="5"/>
      <c r="D287" s="5" t="s">
        <v>59</v>
      </c>
      <c r="E287" s="5" t="s">
        <v>60</v>
      </c>
      <c r="F287" s="6" t="n">
        <v>19691.49</v>
      </c>
      <c r="G287" s="7" t="n">
        <v>602</v>
      </c>
      <c r="H287" s="8" t="n">
        <v>0.1413</v>
      </c>
      <c r="I287" s="8" t="n">
        <v>0.0543</v>
      </c>
      <c r="J287" s="7" t="n">
        <v>313</v>
      </c>
      <c r="K287" s="5" t="n">
        <v>22</v>
      </c>
      <c r="L287" s="5" t="n">
        <v>64</v>
      </c>
      <c r="M287" s="5" t="n">
        <v>4.2</v>
      </c>
      <c r="N287" s="9" t="s">
        <v>54</v>
      </c>
      <c r="O287" s="5"/>
      <c r="P287" s="5" t="s">
        <v>951</v>
      </c>
      <c r="Q287" s="14" t="s">
        <v>952</v>
      </c>
      <c r="R287" s="7" t="n">
        <v>187</v>
      </c>
      <c r="S287" s="7" t="n">
        <v>31</v>
      </c>
      <c r="T287" s="5" t="s">
        <v>953</v>
      </c>
      <c r="U287" s="6" t="n">
        <v>84732.95</v>
      </c>
      <c r="V287" s="7" t="n">
        <v>3310</v>
      </c>
      <c r="W287" s="5" t="n">
        <v>66</v>
      </c>
      <c r="X287" s="7" t="n">
        <v>144</v>
      </c>
      <c r="Y287" s="7" t="n">
        <v>289</v>
      </c>
      <c r="Z287" s="7" t="n">
        <v>427</v>
      </c>
      <c r="AA287" s="10" t="n">
        <v>12.58</v>
      </c>
      <c r="AB287" s="11" t="n">
        <v>96.61</v>
      </c>
      <c r="AC287" s="10"/>
      <c r="AD287" s="12" t="n">
        <v>0.84</v>
      </c>
      <c r="AE287" s="12" t="n">
        <v>0.79</v>
      </c>
      <c r="AF287" s="12" t="n">
        <v>0.89</v>
      </c>
      <c r="AG287" s="7" t="n">
        <v>130</v>
      </c>
      <c r="AH287" s="7" t="n">
        <v>1788</v>
      </c>
      <c r="AI287" s="5" t="s">
        <v>954</v>
      </c>
    </row>
    <row r="288" customFormat="false" ht="15" hidden="false" customHeight="false" outlineLevel="0" collapsed="false">
      <c r="A288" s="5" t="s">
        <v>59</v>
      </c>
      <c r="B288" s="5" t="s">
        <v>955</v>
      </c>
      <c r="C288" s="5" t="s">
        <v>956</v>
      </c>
      <c r="D288" s="5" t="s">
        <v>59</v>
      </c>
      <c r="E288" s="5" t="s">
        <v>53</v>
      </c>
      <c r="F288" s="6" t="n">
        <v>19657.73</v>
      </c>
      <c r="G288" s="7" t="n">
        <v>2439</v>
      </c>
      <c r="H288" s="8" t="n">
        <v>0.3366</v>
      </c>
      <c r="I288" s="8" t="n">
        <v>0.3468</v>
      </c>
      <c r="J288" s="7" t="n">
        <v>199</v>
      </c>
      <c r="K288" s="5" t="n">
        <v>8</v>
      </c>
      <c r="L288" s="5" t="n">
        <v>61</v>
      </c>
      <c r="M288" s="5" t="n">
        <v>4.7</v>
      </c>
      <c r="N288" s="9" t="s">
        <v>54</v>
      </c>
      <c r="O288" s="5"/>
      <c r="P288" s="5"/>
      <c r="Q288" s="5"/>
      <c r="R288" s="7"/>
      <c r="S288" s="7"/>
      <c r="T288" s="5"/>
      <c r="U288" s="6"/>
      <c r="V288" s="7"/>
      <c r="W288" s="5"/>
      <c r="X288" s="7"/>
      <c r="Y288" s="7"/>
      <c r="Z288" s="7"/>
      <c r="AA288" s="10"/>
      <c r="AB288" s="11"/>
      <c r="AC288" s="10"/>
      <c r="AD288" s="12"/>
      <c r="AE288" s="12"/>
      <c r="AF288" s="12"/>
      <c r="AG288" s="7"/>
      <c r="AH288" s="7"/>
      <c r="AI288" s="5" t="s">
        <v>957</v>
      </c>
    </row>
    <row r="289" customFormat="false" ht="15" hidden="false" customHeight="false" outlineLevel="0" collapsed="false">
      <c r="A289" s="5" t="s">
        <v>59</v>
      </c>
      <c r="B289" s="5" t="s">
        <v>958</v>
      </c>
      <c r="C289" s="5" t="s">
        <v>959</v>
      </c>
      <c r="D289" s="5" t="s">
        <v>59</v>
      </c>
      <c r="E289" s="5" t="s">
        <v>60</v>
      </c>
      <c r="F289" s="6" t="n">
        <v>19455.74</v>
      </c>
      <c r="G289" s="7" t="n">
        <v>815</v>
      </c>
      <c r="H289" s="8" t="n">
        <v>10.0338</v>
      </c>
      <c r="I289" s="8" t="n">
        <v>8.0556</v>
      </c>
      <c r="J289" s="7" t="n">
        <v>23</v>
      </c>
      <c r="K289" s="5" t="n">
        <v>2</v>
      </c>
      <c r="L289" s="5" t="n">
        <v>161</v>
      </c>
      <c r="M289" s="5" t="n">
        <v>3.9</v>
      </c>
      <c r="N289" s="9" t="s">
        <v>54</v>
      </c>
      <c r="O289" s="5"/>
      <c r="P289" s="5"/>
      <c r="Q289" s="5"/>
      <c r="R289" s="7"/>
      <c r="S289" s="7"/>
      <c r="T289" s="5"/>
      <c r="U289" s="6"/>
      <c r="V289" s="7"/>
      <c r="W289" s="5"/>
      <c r="X289" s="7"/>
      <c r="Y289" s="7"/>
      <c r="Z289" s="7"/>
      <c r="AA289" s="10"/>
      <c r="AB289" s="11"/>
      <c r="AC289" s="10"/>
      <c r="AD289" s="12"/>
      <c r="AE289" s="12"/>
      <c r="AF289" s="12"/>
      <c r="AG289" s="7"/>
      <c r="AH289" s="7"/>
      <c r="AI289" s="5" t="s">
        <v>960</v>
      </c>
    </row>
    <row r="290" customFormat="false" ht="15" hidden="false" customHeight="false" outlineLevel="0" collapsed="false">
      <c r="A290" s="5" t="s">
        <v>59</v>
      </c>
      <c r="B290" s="5" t="s">
        <v>961</v>
      </c>
      <c r="C290" s="5" t="s">
        <v>962</v>
      </c>
      <c r="D290" s="5" t="s">
        <v>59</v>
      </c>
      <c r="E290" s="5" t="s">
        <v>60</v>
      </c>
      <c r="F290" s="6" t="n">
        <v>18944.14</v>
      </c>
      <c r="G290" s="7" t="n">
        <v>955</v>
      </c>
      <c r="H290" s="8" t="n">
        <v>-0.1943</v>
      </c>
      <c r="I290" s="8" t="n">
        <v>-0.2166</v>
      </c>
      <c r="J290" s="7" t="n">
        <v>143</v>
      </c>
      <c r="K290" s="5" t="n">
        <v>31</v>
      </c>
      <c r="L290" s="5" t="n">
        <v>2</v>
      </c>
      <c r="M290" s="5" t="n">
        <v>4.6</v>
      </c>
      <c r="N290" s="9" t="s">
        <v>54</v>
      </c>
      <c r="O290" s="5"/>
      <c r="P290" s="5"/>
      <c r="Q290" s="5"/>
      <c r="R290" s="7"/>
      <c r="S290" s="7"/>
      <c r="T290" s="5"/>
      <c r="U290" s="6"/>
      <c r="V290" s="7"/>
      <c r="W290" s="5"/>
      <c r="X290" s="7"/>
      <c r="Y290" s="7"/>
      <c r="Z290" s="7"/>
      <c r="AA290" s="10"/>
      <c r="AB290" s="11"/>
      <c r="AC290" s="10"/>
      <c r="AD290" s="12"/>
      <c r="AE290" s="12"/>
      <c r="AF290" s="12"/>
      <c r="AG290" s="7"/>
      <c r="AH290" s="7"/>
      <c r="AI290" s="5" t="s">
        <v>963</v>
      </c>
    </row>
    <row r="291" customFormat="false" ht="15" hidden="false" customHeight="false" outlineLevel="0" collapsed="false">
      <c r="A291" s="5" t="s">
        <v>59</v>
      </c>
      <c r="B291" s="5" t="s">
        <v>964</v>
      </c>
      <c r="C291" s="5"/>
      <c r="D291" s="5" t="s">
        <v>59</v>
      </c>
      <c r="E291" s="5" t="s">
        <v>60</v>
      </c>
      <c r="F291" s="6" t="n">
        <v>18904.67</v>
      </c>
      <c r="G291" s="7" t="n">
        <v>2361</v>
      </c>
      <c r="H291" s="8" t="n">
        <v>345.8874</v>
      </c>
      <c r="I291" s="8" t="n">
        <v>471.2</v>
      </c>
      <c r="J291" s="7" t="n">
        <v>32</v>
      </c>
      <c r="K291" s="5" t="n">
        <v>25</v>
      </c>
      <c r="L291" s="5" t="n">
        <v>83</v>
      </c>
      <c r="M291" s="5" t="n">
        <v>4.3</v>
      </c>
      <c r="N291" s="9" t="s">
        <v>54</v>
      </c>
      <c r="O291" s="5"/>
      <c r="P291" s="5"/>
      <c r="Q291" s="5"/>
      <c r="R291" s="7"/>
      <c r="S291" s="7"/>
      <c r="T291" s="5"/>
      <c r="U291" s="6"/>
      <c r="V291" s="7"/>
      <c r="W291" s="5"/>
      <c r="X291" s="7"/>
      <c r="Y291" s="7"/>
      <c r="Z291" s="7"/>
      <c r="AA291" s="10"/>
      <c r="AB291" s="11"/>
      <c r="AC291" s="10"/>
      <c r="AD291" s="12"/>
      <c r="AE291" s="12"/>
      <c r="AF291" s="12"/>
      <c r="AG291" s="7"/>
      <c r="AH291" s="7"/>
      <c r="AI291" s="5" t="s">
        <v>965</v>
      </c>
    </row>
    <row r="292" customFormat="false" ht="15" hidden="false" customHeight="false" outlineLevel="0" collapsed="false">
      <c r="A292" s="5" t="s">
        <v>59</v>
      </c>
      <c r="B292" s="5" t="s">
        <v>966</v>
      </c>
      <c r="C292" s="5" t="s">
        <v>967</v>
      </c>
      <c r="D292" s="5" t="s">
        <v>59</v>
      </c>
      <c r="E292" s="5" t="s">
        <v>60</v>
      </c>
      <c r="F292" s="6" t="n">
        <v>18884.63</v>
      </c>
      <c r="G292" s="7" t="n">
        <v>1263</v>
      </c>
      <c r="H292" s="8" t="n">
        <v>-0.1891</v>
      </c>
      <c r="I292" s="8" t="n">
        <v>-0.2856</v>
      </c>
      <c r="J292" s="7" t="n">
        <v>47</v>
      </c>
      <c r="K292" s="5" t="n">
        <v>12</v>
      </c>
      <c r="L292" s="5" t="n">
        <v>109</v>
      </c>
      <c r="M292" s="5" t="n">
        <v>3.5</v>
      </c>
      <c r="N292" s="9" t="s">
        <v>54</v>
      </c>
      <c r="O292" s="5"/>
      <c r="P292" s="5"/>
      <c r="Q292" s="5"/>
      <c r="R292" s="7"/>
      <c r="S292" s="7"/>
      <c r="T292" s="5"/>
      <c r="U292" s="6"/>
      <c r="V292" s="7"/>
      <c r="W292" s="5"/>
      <c r="X292" s="7"/>
      <c r="Y292" s="7"/>
      <c r="Z292" s="7"/>
      <c r="AA292" s="10"/>
      <c r="AB292" s="11"/>
      <c r="AC292" s="10"/>
      <c r="AD292" s="12"/>
      <c r="AE292" s="12"/>
      <c r="AF292" s="12"/>
      <c r="AG292" s="7"/>
      <c r="AH292" s="7"/>
      <c r="AI292" s="5" t="s">
        <v>968</v>
      </c>
    </row>
    <row r="293" customFormat="false" ht="15" hidden="false" customHeight="false" outlineLevel="0" collapsed="false">
      <c r="A293" s="5" t="s">
        <v>59</v>
      </c>
      <c r="B293" s="5" t="s">
        <v>969</v>
      </c>
      <c r="C293" s="5" t="s">
        <v>970</v>
      </c>
      <c r="D293" s="5" t="s">
        <v>98</v>
      </c>
      <c r="E293" s="5" t="s">
        <v>60</v>
      </c>
      <c r="F293" s="6" t="n">
        <v>18811.71</v>
      </c>
      <c r="G293" s="7" t="n">
        <v>1101</v>
      </c>
      <c r="H293" s="8" t="n">
        <v>0.1546</v>
      </c>
      <c r="I293" s="8" t="n">
        <v>-0.201</v>
      </c>
      <c r="J293" s="7" t="n">
        <v>103</v>
      </c>
      <c r="K293" s="5" t="n">
        <v>68</v>
      </c>
      <c r="L293" s="5" t="n">
        <v>507</v>
      </c>
      <c r="M293" s="5" t="n">
        <v>4.4</v>
      </c>
      <c r="N293" s="15" t="s">
        <v>151</v>
      </c>
      <c r="O293" s="5" t="s">
        <v>971</v>
      </c>
      <c r="P293" s="5"/>
      <c r="Q293" s="5"/>
      <c r="R293" s="7"/>
      <c r="S293" s="7"/>
      <c r="T293" s="5"/>
      <c r="U293" s="6"/>
      <c r="V293" s="7"/>
      <c r="W293" s="5"/>
      <c r="X293" s="7"/>
      <c r="Y293" s="7"/>
      <c r="Z293" s="7"/>
      <c r="AA293" s="10"/>
      <c r="AB293" s="11"/>
      <c r="AC293" s="10"/>
      <c r="AD293" s="12"/>
      <c r="AE293" s="12"/>
      <c r="AF293" s="12"/>
      <c r="AG293" s="7"/>
      <c r="AH293" s="7"/>
      <c r="AI293" s="5" t="s">
        <v>972</v>
      </c>
    </row>
    <row r="294" customFormat="false" ht="15" hidden="false" customHeight="false" outlineLevel="0" collapsed="false">
      <c r="A294" s="5" t="s">
        <v>59</v>
      </c>
      <c r="B294" s="5" t="s">
        <v>973</v>
      </c>
      <c r="C294" s="5" t="s">
        <v>974</v>
      </c>
      <c r="D294" s="5" t="s">
        <v>59</v>
      </c>
      <c r="E294" s="5" t="s">
        <v>60</v>
      </c>
      <c r="F294" s="6" t="n">
        <v>18785.02</v>
      </c>
      <c r="G294" s="7" t="n">
        <v>790</v>
      </c>
      <c r="H294" s="8" t="n">
        <v>-0.4514</v>
      </c>
      <c r="I294" s="8" t="n">
        <v>-0.5711</v>
      </c>
      <c r="J294" s="7" t="n">
        <v>754</v>
      </c>
      <c r="K294" s="5" t="n">
        <v>10</v>
      </c>
      <c r="L294" s="5" t="n">
        <v>11</v>
      </c>
      <c r="M294" s="5" t="n">
        <v>3.7</v>
      </c>
      <c r="N294" s="9" t="s">
        <v>54</v>
      </c>
      <c r="O294" s="5"/>
      <c r="P294" s="5" t="s">
        <v>975</v>
      </c>
      <c r="Q294" s="14" t="s">
        <v>976</v>
      </c>
      <c r="R294" s="7" t="n">
        <v>6996</v>
      </c>
      <c r="S294" s="7" t="n">
        <v>174</v>
      </c>
      <c r="T294" s="5" t="s">
        <v>977</v>
      </c>
      <c r="U294" s="6" t="n">
        <v>471062.14</v>
      </c>
      <c r="V294" s="7" t="n">
        <v>38143</v>
      </c>
      <c r="W294" s="5" t="n">
        <v>18</v>
      </c>
      <c r="X294" s="7" t="n">
        <v>5173</v>
      </c>
      <c r="Y294" s="7" t="n">
        <v>13678</v>
      </c>
      <c r="Z294" s="7" t="n">
        <v>2452</v>
      </c>
      <c r="AA294" s="10" t="n">
        <v>4.24</v>
      </c>
      <c r="AB294" s="11" t="n">
        <v>58</v>
      </c>
      <c r="AC294" s="10" t="n">
        <v>11.38</v>
      </c>
      <c r="AD294" s="12" t="n">
        <v>0.78</v>
      </c>
      <c r="AE294" s="12" t="n">
        <v>0.81</v>
      </c>
      <c r="AF294" s="12" t="n">
        <v>0.95</v>
      </c>
      <c r="AG294" s="7" t="n">
        <v>142</v>
      </c>
      <c r="AH294" s="7" t="n">
        <v>1918</v>
      </c>
      <c r="AI294" s="5" t="s">
        <v>978</v>
      </c>
    </row>
    <row r="295" customFormat="false" ht="15" hidden="false" customHeight="false" outlineLevel="0" collapsed="false">
      <c r="A295" s="5" t="s">
        <v>59</v>
      </c>
      <c r="B295" s="5" t="s">
        <v>979</v>
      </c>
      <c r="C295" s="5" t="s">
        <v>980</v>
      </c>
      <c r="D295" s="5" t="s">
        <v>59</v>
      </c>
      <c r="E295" s="5" t="s">
        <v>60</v>
      </c>
      <c r="F295" s="6" t="n">
        <v>18750.03</v>
      </c>
      <c r="G295" s="7" t="n">
        <v>1198</v>
      </c>
      <c r="H295" s="8" t="n">
        <v>0.2293</v>
      </c>
      <c r="I295" s="8" t="n">
        <v>0.2854</v>
      </c>
      <c r="J295" s="7" t="n">
        <v>70</v>
      </c>
      <c r="K295" s="5" t="n">
        <v>15</v>
      </c>
      <c r="L295" s="5" t="n">
        <v>71</v>
      </c>
      <c r="M295" s="5" t="n">
        <v>4.3</v>
      </c>
      <c r="N295" s="9" t="s">
        <v>54</v>
      </c>
      <c r="O295" s="5"/>
      <c r="P295" s="5"/>
      <c r="Q295" s="5"/>
      <c r="R295" s="7"/>
      <c r="S295" s="7"/>
      <c r="T295" s="5"/>
      <c r="U295" s="6"/>
      <c r="V295" s="7"/>
      <c r="W295" s="5"/>
      <c r="X295" s="7"/>
      <c r="Y295" s="7"/>
      <c r="Z295" s="7"/>
      <c r="AA295" s="10"/>
      <c r="AB295" s="11"/>
      <c r="AC295" s="10"/>
      <c r="AD295" s="12"/>
      <c r="AE295" s="12"/>
      <c r="AF295" s="12"/>
      <c r="AG295" s="7"/>
      <c r="AH295" s="7"/>
      <c r="AI295" s="5" t="s">
        <v>981</v>
      </c>
    </row>
    <row r="296" customFormat="false" ht="15" hidden="false" customHeight="false" outlineLevel="0" collapsed="false">
      <c r="A296" s="5" t="s">
        <v>59</v>
      </c>
      <c r="B296" s="5" t="s">
        <v>982</v>
      </c>
      <c r="C296" s="5"/>
      <c r="D296" s="5" t="s">
        <v>59</v>
      </c>
      <c r="E296" s="5" t="s">
        <v>60</v>
      </c>
      <c r="F296" s="6" t="n">
        <v>18489.58</v>
      </c>
      <c r="G296" s="7" t="n">
        <v>2310</v>
      </c>
      <c r="H296" s="8" t="n">
        <v>1.5276</v>
      </c>
      <c r="I296" s="8" t="n">
        <v>0.3685</v>
      </c>
      <c r="J296" s="7" t="n">
        <v>29</v>
      </c>
      <c r="K296" s="5" t="n">
        <v>27</v>
      </c>
      <c r="L296" s="5" t="n">
        <v>227</v>
      </c>
      <c r="M296" s="5" t="n">
        <v>4.1</v>
      </c>
      <c r="N296" s="9" t="s">
        <v>54</v>
      </c>
      <c r="O296" s="5"/>
      <c r="P296" s="5"/>
      <c r="Q296" s="5"/>
      <c r="R296" s="7"/>
      <c r="S296" s="7"/>
      <c r="T296" s="5"/>
      <c r="U296" s="6"/>
      <c r="V296" s="7"/>
      <c r="W296" s="5"/>
      <c r="X296" s="7"/>
      <c r="Y296" s="7"/>
      <c r="Z296" s="7"/>
      <c r="AA296" s="10"/>
      <c r="AB296" s="11"/>
      <c r="AC296" s="10"/>
      <c r="AD296" s="12"/>
      <c r="AE296" s="12"/>
      <c r="AF296" s="12"/>
      <c r="AG296" s="7"/>
      <c r="AH296" s="7"/>
      <c r="AI296" s="5" t="s">
        <v>983</v>
      </c>
    </row>
    <row r="297" customFormat="false" ht="15" hidden="false" customHeight="false" outlineLevel="0" collapsed="false">
      <c r="A297" s="5" t="s">
        <v>59</v>
      </c>
      <c r="B297" s="5" t="s">
        <v>984</v>
      </c>
      <c r="C297" s="5"/>
      <c r="D297" s="5" t="s">
        <v>59</v>
      </c>
      <c r="E297" s="5" t="s">
        <v>53</v>
      </c>
      <c r="F297" s="6" t="n">
        <v>18455.85</v>
      </c>
      <c r="G297" s="7" t="n">
        <v>1191</v>
      </c>
      <c r="H297" s="8" t="n">
        <v>2.3478</v>
      </c>
      <c r="I297" s="8" t="n">
        <v>0.8155</v>
      </c>
      <c r="J297" s="7" t="n">
        <v>109</v>
      </c>
      <c r="K297" s="5" t="n">
        <v>14</v>
      </c>
      <c r="L297" s="5" t="n">
        <v>213</v>
      </c>
      <c r="M297" s="5" t="n">
        <v>4.3</v>
      </c>
      <c r="N297" s="9" t="s">
        <v>54</v>
      </c>
      <c r="O297" s="5"/>
      <c r="P297" s="5"/>
      <c r="Q297" s="5"/>
      <c r="R297" s="7"/>
      <c r="S297" s="7"/>
      <c r="T297" s="5"/>
      <c r="U297" s="6"/>
      <c r="V297" s="7"/>
      <c r="W297" s="5"/>
      <c r="X297" s="7"/>
      <c r="Y297" s="7"/>
      <c r="Z297" s="7"/>
      <c r="AA297" s="10"/>
      <c r="AB297" s="11"/>
      <c r="AC297" s="10"/>
      <c r="AD297" s="12"/>
      <c r="AE297" s="12"/>
      <c r="AF297" s="12"/>
      <c r="AG297" s="7"/>
      <c r="AH297" s="7"/>
      <c r="AI297" s="5" t="s">
        <v>985</v>
      </c>
    </row>
    <row r="298" customFormat="false" ht="15" hidden="false" customHeight="false" outlineLevel="0" collapsed="false">
      <c r="A298" s="5" t="s">
        <v>59</v>
      </c>
      <c r="B298" s="5" t="s">
        <v>986</v>
      </c>
      <c r="C298" s="5"/>
      <c r="D298" s="5" t="s">
        <v>428</v>
      </c>
      <c r="E298" s="5" t="s">
        <v>60</v>
      </c>
      <c r="F298" s="6" t="n">
        <v>18240.66</v>
      </c>
      <c r="G298" s="7" t="n">
        <v>1046</v>
      </c>
      <c r="H298" s="8" t="n">
        <v>1.3918</v>
      </c>
      <c r="I298" s="8" t="n">
        <v>0.8984</v>
      </c>
      <c r="J298" s="7" t="n">
        <v>124</v>
      </c>
      <c r="K298" s="5" t="n">
        <v>4</v>
      </c>
      <c r="L298" s="5" t="n">
        <v>115</v>
      </c>
      <c r="M298" s="5" t="n">
        <v>4.1</v>
      </c>
      <c r="N298" s="13" t="s">
        <v>61</v>
      </c>
      <c r="O298" s="5"/>
      <c r="P298" s="5"/>
      <c r="Q298" s="5"/>
      <c r="R298" s="7"/>
      <c r="S298" s="7"/>
      <c r="T298" s="5"/>
      <c r="U298" s="6"/>
      <c r="V298" s="7"/>
      <c r="W298" s="5"/>
      <c r="X298" s="7"/>
      <c r="Y298" s="7"/>
      <c r="Z298" s="7"/>
      <c r="AA298" s="10"/>
      <c r="AB298" s="11"/>
      <c r="AC298" s="10"/>
      <c r="AD298" s="12"/>
      <c r="AE298" s="12"/>
      <c r="AF298" s="12"/>
      <c r="AG298" s="7"/>
      <c r="AH298" s="7"/>
      <c r="AI298" s="5" t="s">
        <v>987</v>
      </c>
    </row>
    <row r="299" customFormat="false" ht="15" hidden="false" customHeight="false" outlineLevel="0" collapsed="false">
      <c r="A299" s="5" t="s">
        <v>59</v>
      </c>
      <c r="B299" s="5" t="s">
        <v>988</v>
      </c>
      <c r="C299" s="5" t="s">
        <v>989</v>
      </c>
      <c r="D299" s="5" t="s">
        <v>59</v>
      </c>
      <c r="E299" s="5" t="s">
        <v>53</v>
      </c>
      <c r="F299" s="6" t="n">
        <v>17960.84</v>
      </c>
      <c r="G299" s="7" t="n">
        <v>3089</v>
      </c>
      <c r="H299" s="8" t="n">
        <v>-0.1431</v>
      </c>
      <c r="I299" s="8" t="n">
        <v>-0.1476</v>
      </c>
      <c r="J299" s="7" t="n">
        <v>207</v>
      </c>
      <c r="K299" s="5" t="n">
        <v>51</v>
      </c>
      <c r="L299" s="5" t="n">
        <v>243</v>
      </c>
      <c r="M299" s="5" t="n">
        <v>4.6</v>
      </c>
      <c r="N299" s="9" t="s">
        <v>54</v>
      </c>
      <c r="O299" s="5"/>
      <c r="P299" s="5"/>
      <c r="Q299" s="5"/>
      <c r="R299" s="7"/>
      <c r="S299" s="7"/>
      <c r="T299" s="5"/>
      <c r="U299" s="6"/>
      <c r="V299" s="7"/>
      <c r="W299" s="5"/>
      <c r="X299" s="7"/>
      <c r="Y299" s="7"/>
      <c r="Z299" s="7"/>
      <c r="AA299" s="10"/>
      <c r="AB299" s="11"/>
      <c r="AC299" s="10"/>
      <c r="AD299" s="12"/>
      <c r="AE299" s="12"/>
      <c r="AF299" s="12"/>
      <c r="AG299" s="7"/>
      <c r="AH299" s="7"/>
      <c r="AI299" s="5" t="s">
        <v>990</v>
      </c>
    </row>
    <row r="300" customFormat="false" ht="15" hidden="false" customHeight="false" outlineLevel="0" collapsed="false">
      <c r="A300" s="5" t="s">
        <v>59</v>
      </c>
      <c r="B300" s="5" t="s">
        <v>991</v>
      </c>
      <c r="C300" s="5"/>
      <c r="D300" s="5" t="s">
        <v>59</v>
      </c>
      <c r="E300" s="5" t="s">
        <v>53</v>
      </c>
      <c r="F300" s="6" t="n">
        <v>17822.98</v>
      </c>
      <c r="G300" s="7" t="n">
        <v>1192</v>
      </c>
      <c r="H300" s="8" t="n">
        <v>0.0179</v>
      </c>
      <c r="I300" s="8" t="n">
        <v>-0.034</v>
      </c>
      <c r="J300" s="7" t="n">
        <v>149</v>
      </c>
      <c r="K300" s="5" t="n">
        <v>8</v>
      </c>
      <c r="L300" s="5" t="n">
        <v>26</v>
      </c>
      <c r="M300" s="5" t="n">
        <v>4.8</v>
      </c>
      <c r="N300" s="9" t="s">
        <v>54</v>
      </c>
      <c r="O300" s="5"/>
      <c r="P300" s="5"/>
      <c r="Q300" s="5"/>
      <c r="R300" s="7"/>
      <c r="S300" s="7"/>
      <c r="T300" s="5"/>
      <c r="U300" s="6"/>
      <c r="V300" s="7"/>
      <c r="W300" s="5"/>
      <c r="X300" s="7"/>
      <c r="Y300" s="7"/>
      <c r="Z300" s="7"/>
      <c r="AA300" s="10"/>
      <c r="AB300" s="11"/>
      <c r="AC300" s="10"/>
      <c r="AD300" s="12"/>
      <c r="AE300" s="12"/>
      <c r="AF300" s="12"/>
      <c r="AG300" s="7"/>
      <c r="AH300" s="7"/>
      <c r="AI300" s="5" t="s">
        <v>992</v>
      </c>
    </row>
    <row r="301" customFormat="false" ht="15" hidden="false" customHeight="false" outlineLevel="0" collapsed="false">
      <c r="A301" s="5" t="s">
        <v>59</v>
      </c>
      <c r="B301" s="5" t="s">
        <v>993</v>
      </c>
      <c r="C301" s="5"/>
      <c r="D301" s="5" t="s">
        <v>59</v>
      </c>
      <c r="E301" s="5" t="s">
        <v>60</v>
      </c>
      <c r="F301" s="6" t="n">
        <v>17757.8</v>
      </c>
      <c r="G301" s="7" t="n">
        <v>1639</v>
      </c>
      <c r="H301" s="8" t="n">
        <v>41.6926</v>
      </c>
      <c r="I301" s="8" t="n">
        <v>28.2679</v>
      </c>
      <c r="J301" s="7" t="n">
        <v>20</v>
      </c>
      <c r="K301" s="5" t="n">
        <v>11</v>
      </c>
      <c r="L301" s="5" t="n">
        <v>34</v>
      </c>
      <c r="M301" s="5" t="n">
        <v>3.6</v>
      </c>
      <c r="N301" s="9" t="s">
        <v>54</v>
      </c>
      <c r="O301" s="5"/>
      <c r="P301" s="5"/>
      <c r="Q301" s="5"/>
      <c r="R301" s="7"/>
      <c r="S301" s="7"/>
      <c r="T301" s="5"/>
      <c r="U301" s="6"/>
      <c r="V301" s="7"/>
      <c r="W301" s="5"/>
      <c r="X301" s="7"/>
      <c r="Y301" s="7"/>
      <c r="Z301" s="7"/>
      <c r="AA301" s="10"/>
      <c r="AB301" s="11"/>
      <c r="AC301" s="10"/>
      <c r="AD301" s="12"/>
      <c r="AE301" s="12"/>
      <c r="AF301" s="12"/>
      <c r="AG301" s="7"/>
      <c r="AH301" s="7"/>
      <c r="AI301" s="5" t="s">
        <v>994</v>
      </c>
    </row>
    <row r="302" customFormat="false" ht="15" hidden="false" customHeight="false" outlineLevel="0" collapsed="false">
      <c r="A302" s="5" t="s">
        <v>59</v>
      </c>
      <c r="B302" s="5" t="s">
        <v>995</v>
      </c>
      <c r="C302" s="5" t="s">
        <v>996</v>
      </c>
      <c r="D302" s="5" t="s">
        <v>150</v>
      </c>
      <c r="E302" s="5" t="s">
        <v>60</v>
      </c>
      <c r="F302" s="6" t="n">
        <v>17326.45</v>
      </c>
      <c r="G302" s="7" t="n">
        <v>669</v>
      </c>
      <c r="H302" s="8" t="n">
        <v>-0.1119</v>
      </c>
      <c r="I302" s="8" t="n">
        <v>-0.6801</v>
      </c>
      <c r="J302" s="7" t="n">
        <v>177</v>
      </c>
      <c r="K302" s="5" t="n">
        <v>29</v>
      </c>
      <c r="L302" s="5" t="n">
        <v>746</v>
      </c>
      <c r="M302" s="5" t="n">
        <v>4.1</v>
      </c>
      <c r="N302" s="15" t="s">
        <v>151</v>
      </c>
      <c r="O302" s="5" t="s">
        <v>997</v>
      </c>
      <c r="P302" s="5"/>
      <c r="Q302" s="5"/>
      <c r="R302" s="7"/>
      <c r="S302" s="7"/>
      <c r="T302" s="5"/>
      <c r="U302" s="6"/>
      <c r="V302" s="7"/>
      <c r="W302" s="5"/>
      <c r="X302" s="7"/>
      <c r="Y302" s="7"/>
      <c r="Z302" s="7"/>
      <c r="AA302" s="10"/>
      <c r="AB302" s="11"/>
      <c r="AC302" s="10"/>
      <c r="AD302" s="12"/>
      <c r="AE302" s="12"/>
      <c r="AF302" s="12"/>
      <c r="AG302" s="7"/>
      <c r="AH302" s="7"/>
      <c r="AI302" s="5" t="s">
        <v>998</v>
      </c>
    </row>
    <row r="303" customFormat="false" ht="15" hidden="false" customHeight="false" outlineLevel="0" collapsed="false">
      <c r="A303" s="5" t="s">
        <v>59</v>
      </c>
      <c r="B303" s="5" t="s">
        <v>999</v>
      </c>
      <c r="C303" s="5" t="s">
        <v>1000</v>
      </c>
      <c r="D303" s="5" t="s">
        <v>59</v>
      </c>
      <c r="E303" s="5" t="s">
        <v>53</v>
      </c>
      <c r="F303" s="6" t="n">
        <v>17316.29</v>
      </c>
      <c r="G303" s="7" t="n">
        <v>2044</v>
      </c>
      <c r="H303" s="8" t="n">
        <v>-0.0775</v>
      </c>
      <c r="I303" s="8" t="n">
        <v>-0.0883</v>
      </c>
      <c r="J303" s="7" t="n">
        <v>1126</v>
      </c>
      <c r="K303" s="5" t="n">
        <v>56</v>
      </c>
      <c r="L303" s="5" t="n">
        <v>306</v>
      </c>
      <c r="M303" s="5" t="n">
        <v>4.6</v>
      </c>
      <c r="N303" s="9" t="s">
        <v>54</v>
      </c>
      <c r="O303" s="5"/>
      <c r="P303" s="5"/>
      <c r="Q303" s="5"/>
      <c r="R303" s="7"/>
      <c r="S303" s="7"/>
      <c r="T303" s="5"/>
      <c r="U303" s="6"/>
      <c r="V303" s="7"/>
      <c r="W303" s="5"/>
      <c r="X303" s="7"/>
      <c r="Y303" s="7"/>
      <c r="Z303" s="7"/>
      <c r="AA303" s="10"/>
      <c r="AB303" s="11"/>
      <c r="AC303" s="10"/>
      <c r="AD303" s="12"/>
      <c r="AE303" s="12"/>
      <c r="AF303" s="12"/>
      <c r="AG303" s="7"/>
      <c r="AH303" s="7"/>
      <c r="AI303" s="5" t="s">
        <v>1001</v>
      </c>
    </row>
    <row r="304" customFormat="false" ht="15" hidden="false" customHeight="false" outlineLevel="0" collapsed="false">
      <c r="A304" s="5" t="s">
        <v>59</v>
      </c>
      <c r="B304" s="5" t="s">
        <v>1002</v>
      </c>
      <c r="C304" s="5" t="s">
        <v>1003</v>
      </c>
      <c r="D304" s="5" t="s">
        <v>138</v>
      </c>
      <c r="E304" s="5" t="s">
        <v>60</v>
      </c>
      <c r="F304" s="6" t="n">
        <v>17010.11</v>
      </c>
      <c r="G304" s="7" t="n">
        <v>518</v>
      </c>
      <c r="H304" s="8" t="n">
        <v>0.1538</v>
      </c>
      <c r="I304" s="8" t="n">
        <v>0.036</v>
      </c>
      <c r="J304" s="7" t="n">
        <v>22</v>
      </c>
      <c r="K304" s="5" t="n">
        <v>17</v>
      </c>
      <c r="L304" s="5" t="n">
        <v>24</v>
      </c>
      <c r="M304" s="5" t="n">
        <v>4.8</v>
      </c>
      <c r="N304" s="15" t="s">
        <v>151</v>
      </c>
      <c r="O304" s="5" t="s">
        <v>1004</v>
      </c>
      <c r="P304" s="5"/>
      <c r="Q304" s="5"/>
      <c r="R304" s="7"/>
      <c r="S304" s="7"/>
      <c r="T304" s="5"/>
      <c r="U304" s="6"/>
      <c r="V304" s="7"/>
      <c r="W304" s="5"/>
      <c r="X304" s="7"/>
      <c r="Y304" s="7"/>
      <c r="Z304" s="7"/>
      <c r="AA304" s="10"/>
      <c r="AB304" s="11"/>
      <c r="AC304" s="10"/>
      <c r="AD304" s="12"/>
      <c r="AE304" s="12"/>
      <c r="AF304" s="12"/>
      <c r="AG304" s="7"/>
      <c r="AH304" s="7"/>
      <c r="AI304" s="5" t="s">
        <v>1005</v>
      </c>
    </row>
    <row r="305" customFormat="false" ht="15" hidden="false" customHeight="false" outlineLevel="0" collapsed="false">
      <c r="A305" s="5" t="s">
        <v>59</v>
      </c>
      <c r="B305" s="5" t="s">
        <v>1006</v>
      </c>
      <c r="C305" s="5"/>
      <c r="D305" s="5" t="s">
        <v>59</v>
      </c>
      <c r="E305" s="5" t="s">
        <v>53</v>
      </c>
      <c r="F305" s="6" t="n">
        <v>16653.3</v>
      </c>
      <c r="G305" s="7" t="n">
        <v>1234</v>
      </c>
      <c r="H305" s="8" t="n">
        <v>0.816</v>
      </c>
      <c r="I305" s="8" t="n">
        <v>0.3086</v>
      </c>
      <c r="J305" s="7" t="n">
        <v>81</v>
      </c>
      <c r="K305" s="5" t="n">
        <v>76</v>
      </c>
      <c r="L305" s="5" t="n">
        <v>994</v>
      </c>
      <c r="M305" s="5" t="n">
        <v>4.1</v>
      </c>
      <c r="N305" s="9" t="s">
        <v>54</v>
      </c>
      <c r="O305" s="5"/>
      <c r="P305" s="5"/>
      <c r="Q305" s="5"/>
      <c r="R305" s="7"/>
      <c r="S305" s="7"/>
      <c r="T305" s="5"/>
      <c r="U305" s="6"/>
      <c r="V305" s="7"/>
      <c r="W305" s="5"/>
      <c r="X305" s="7"/>
      <c r="Y305" s="7"/>
      <c r="Z305" s="7"/>
      <c r="AA305" s="10"/>
      <c r="AB305" s="11"/>
      <c r="AC305" s="10"/>
      <c r="AD305" s="12"/>
      <c r="AE305" s="12"/>
      <c r="AF305" s="12"/>
      <c r="AG305" s="7"/>
      <c r="AH305" s="7"/>
      <c r="AI305" s="5" t="s">
        <v>1007</v>
      </c>
    </row>
    <row r="306" customFormat="false" ht="15" hidden="false" customHeight="false" outlineLevel="0" collapsed="false">
      <c r="A306" s="5" t="s">
        <v>59</v>
      </c>
      <c r="B306" s="5" t="s">
        <v>1008</v>
      </c>
      <c r="C306" s="5"/>
      <c r="D306" s="5" t="s">
        <v>59</v>
      </c>
      <c r="E306" s="5" t="s">
        <v>53</v>
      </c>
      <c r="F306" s="6" t="n">
        <v>13416.19</v>
      </c>
      <c r="G306" s="7" t="n">
        <v>420</v>
      </c>
      <c r="H306" s="8" t="n">
        <v>0.5941</v>
      </c>
      <c r="I306" s="8" t="n">
        <v>0.4483</v>
      </c>
      <c r="J306" s="7" t="n">
        <v>172</v>
      </c>
      <c r="K306" s="5" t="n">
        <v>10</v>
      </c>
      <c r="L306" s="5" t="n">
        <v>16</v>
      </c>
      <c r="M306" s="5" t="n">
        <v>3.9</v>
      </c>
      <c r="N306" s="9" t="s">
        <v>54</v>
      </c>
      <c r="O306" s="5"/>
      <c r="P306" s="5"/>
      <c r="Q306" s="5"/>
      <c r="R306" s="7"/>
      <c r="S306" s="7"/>
      <c r="T306" s="5"/>
      <c r="U306" s="6"/>
      <c r="V306" s="7"/>
      <c r="W306" s="5"/>
      <c r="X306" s="7"/>
      <c r="Y306" s="7"/>
      <c r="Z306" s="7"/>
      <c r="AA306" s="10"/>
      <c r="AB306" s="11"/>
      <c r="AC306" s="10"/>
      <c r="AD306" s="12"/>
      <c r="AE306" s="12"/>
      <c r="AF306" s="12"/>
      <c r="AG306" s="7"/>
      <c r="AH306" s="7"/>
      <c r="AI306" s="5" t="s">
        <v>1009</v>
      </c>
    </row>
    <row r="307" customFormat="false" ht="15" hidden="false" customHeight="false" outlineLevel="0" collapsed="false">
      <c r="A307" s="5" t="s">
        <v>446</v>
      </c>
      <c r="B307" s="5" t="s">
        <v>1010</v>
      </c>
      <c r="C307" s="5" t="s">
        <v>1011</v>
      </c>
      <c r="D307" s="5" t="s">
        <v>677</v>
      </c>
      <c r="E307" s="5" t="s">
        <v>60</v>
      </c>
      <c r="F307" s="6" t="n">
        <v>18433.54</v>
      </c>
      <c r="G307" s="7" t="n">
        <v>1135</v>
      </c>
      <c r="H307" s="8" t="n">
        <v>0.3654</v>
      </c>
      <c r="I307" s="8" t="n">
        <v>0.2839</v>
      </c>
      <c r="J307" s="7" t="n">
        <v>276</v>
      </c>
      <c r="K307" s="5" t="n">
        <v>18</v>
      </c>
      <c r="L307" s="5" t="n">
        <v>378</v>
      </c>
      <c r="M307" s="5" t="n">
        <v>3.6</v>
      </c>
      <c r="N307" s="13" t="s">
        <v>61</v>
      </c>
      <c r="O307" s="5"/>
      <c r="P307" s="5"/>
      <c r="Q307" s="5"/>
      <c r="R307" s="7"/>
      <c r="S307" s="7"/>
      <c r="T307" s="5"/>
      <c r="U307" s="6"/>
      <c r="V307" s="7"/>
      <c r="W307" s="5"/>
      <c r="X307" s="7"/>
      <c r="Y307" s="7"/>
      <c r="Z307" s="7"/>
      <c r="AA307" s="10"/>
      <c r="AB307" s="11"/>
      <c r="AC307" s="10"/>
      <c r="AD307" s="12"/>
      <c r="AE307" s="12"/>
      <c r="AF307" s="12"/>
      <c r="AG307" s="7"/>
      <c r="AH307" s="7"/>
      <c r="AI307" s="5" t="s">
        <v>1012</v>
      </c>
    </row>
    <row r="308" customFormat="false" ht="15" hidden="false" customHeight="false" outlineLevel="0" collapsed="false">
      <c r="A308" s="5" t="s">
        <v>446</v>
      </c>
      <c r="B308" s="5" t="s">
        <v>1013</v>
      </c>
      <c r="C308" s="5" t="s">
        <v>1014</v>
      </c>
      <c r="D308" s="5" t="s">
        <v>446</v>
      </c>
      <c r="E308" s="5" t="s">
        <v>53</v>
      </c>
      <c r="F308" s="6" t="n">
        <v>18209.42</v>
      </c>
      <c r="G308" s="7" t="n">
        <v>168</v>
      </c>
      <c r="H308" s="8" t="n">
        <v>-0.6533</v>
      </c>
      <c r="I308" s="8" t="n">
        <v>-0.7522</v>
      </c>
      <c r="J308" s="7" t="n">
        <v>393</v>
      </c>
      <c r="K308" s="5" t="n">
        <v>5</v>
      </c>
      <c r="L308" s="5" t="n">
        <v>7</v>
      </c>
      <c r="M308" s="5" t="n">
        <v>4.4</v>
      </c>
      <c r="N308" s="9" t="s">
        <v>54</v>
      </c>
      <c r="O308" s="5"/>
      <c r="P308" s="5"/>
      <c r="Q308" s="5"/>
      <c r="R308" s="7"/>
      <c r="S308" s="7"/>
      <c r="T308" s="5"/>
      <c r="U308" s="6"/>
      <c r="V308" s="7"/>
      <c r="W308" s="5"/>
      <c r="X308" s="7"/>
      <c r="Y308" s="7"/>
      <c r="Z308" s="7"/>
      <c r="AA308" s="10"/>
      <c r="AB308" s="11"/>
      <c r="AC308" s="10"/>
      <c r="AD308" s="12"/>
      <c r="AE308" s="12"/>
      <c r="AF308" s="12"/>
      <c r="AG308" s="7"/>
      <c r="AH308" s="7"/>
      <c r="AI308" s="5" t="s">
        <v>1015</v>
      </c>
    </row>
    <row r="309" customFormat="false" ht="15" hidden="false" customHeight="false" outlineLevel="0" collapsed="false">
      <c r="A309" s="5" t="s">
        <v>446</v>
      </c>
      <c r="B309" s="5" t="s">
        <v>1016</v>
      </c>
      <c r="C309" s="5"/>
      <c r="D309" s="5" t="s">
        <v>446</v>
      </c>
      <c r="E309" s="5" t="s">
        <v>60</v>
      </c>
      <c r="F309" s="6" t="n">
        <v>17181.71</v>
      </c>
      <c r="G309" s="7" t="n">
        <v>1185</v>
      </c>
      <c r="H309" s="8" t="n">
        <v>96.3528</v>
      </c>
      <c r="I309" s="8" t="n">
        <v>97.75</v>
      </c>
      <c r="J309" s="7" t="n">
        <v>44</v>
      </c>
      <c r="K309" s="5" t="n">
        <v>4</v>
      </c>
      <c r="L309" s="5" t="n">
        <v>16</v>
      </c>
      <c r="M309" s="5" t="n">
        <v>4.7</v>
      </c>
      <c r="N309" s="9" t="s">
        <v>54</v>
      </c>
      <c r="O309" s="5"/>
      <c r="P309" s="5"/>
      <c r="Q309" s="5"/>
      <c r="R309" s="7"/>
      <c r="S309" s="7"/>
      <c r="T309" s="5"/>
      <c r="U309" s="6"/>
      <c r="V309" s="7"/>
      <c r="W309" s="5"/>
      <c r="X309" s="7"/>
      <c r="Y309" s="7"/>
      <c r="Z309" s="7"/>
      <c r="AA309" s="10"/>
      <c r="AB309" s="11"/>
      <c r="AC309" s="10"/>
      <c r="AD309" s="12"/>
      <c r="AE309" s="12"/>
      <c r="AF309" s="12"/>
      <c r="AG309" s="7"/>
      <c r="AH309" s="7"/>
      <c r="AI309" s="5" t="s">
        <v>1017</v>
      </c>
    </row>
    <row r="310" customFormat="false" ht="15" hidden="false" customHeight="false" outlineLevel="0" collapsed="false">
      <c r="A310" s="5" t="s">
        <v>446</v>
      </c>
      <c r="B310" s="5" t="s">
        <v>1018</v>
      </c>
      <c r="C310" s="5" t="s">
        <v>1019</v>
      </c>
      <c r="D310" s="5" t="s">
        <v>446</v>
      </c>
      <c r="E310" s="5" t="s">
        <v>60</v>
      </c>
      <c r="F310" s="6" t="n">
        <v>16971.02</v>
      </c>
      <c r="G310" s="7" t="n">
        <v>80</v>
      </c>
      <c r="H310" s="8" t="n">
        <v>0.3725</v>
      </c>
      <c r="I310" s="8" t="n">
        <v>0.1765</v>
      </c>
      <c r="J310" s="7" t="n">
        <v>26</v>
      </c>
      <c r="K310" s="5" t="n">
        <v>38</v>
      </c>
      <c r="L310" s="5" t="n">
        <v>617</v>
      </c>
      <c r="M310" s="5" t="n">
        <v>4.2</v>
      </c>
      <c r="N310" s="9" t="s">
        <v>54</v>
      </c>
      <c r="O310" s="5"/>
      <c r="P310" s="5"/>
      <c r="Q310" s="5"/>
      <c r="R310" s="7"/>
      <c r="S310" s="7"/>
      <c r="T310" s="5"/>
      <c r="U310" s="6"/>
      <c r="V310" s="7"/>
      <c r="W310" s="5"/>
      <c r="X310" s="7"/>
      <c r="Y310" s="7"/>
      <c r="Z310" s="7"/>
      <c r="AA310" s="10"/>
      <c r="AB310" s="11"/>
      <c r="AC310" s="10"/>
      <c r="AD310" s="12"/>
      <c r="AE310" s="12"/>
      <c r="AF310" s="12"/>
      <c r="AG310" s="7"/>
      <c r="AH310" s="7"/>
      <c r="AI310" s="5" t="s">
        <v>1020</v>
      </c>
    </row>
    <row r="311" customFormat="false" ht="15" hidden="false" customHeight="false" outlineLevel="0" collapsed="false">
      <c r="A311" s="5" t="s">
        <v>446</v>
      </c>
      <c r="B311" s="5" t="s">
        <v>1021</v>
      </c>
      <c r="C311" s="5" t="s">
        <v>1022</v>
      </c>
      <c r="D311" s="5" t="s">
        <v>446</v>
      </c>
      <c r="E311" s="5" t="s">
        <v>60</v>
      </c>
      <c r="F311" s="6" t="n">
        <v>16904.46</v>
      </c>
      <c r="G311" s="7" t="n">
        <v>319</v>
      </c>
      <c r="H311" s="8" t="n">
        <v>1.0268</v>
      </c>
      <c r="I311" s="8" t="n">
        <v>0.6702</v>
      </c>
      <c r="J311" s="7" t="n">
        <v>451</v>
      </c>
      <c r="K311" s="5" t="n">
        <v>8</v>
      </c>
      <c r="L311" s="5" t="n">
        <v>8</v>
      </c>
      <c r="M311" s="5" t="n">
        <v>3.8</v>
      </c>
      <c r="N311" s="9" t="s">
        <v>54</v>
      </c>
      <c r="O311" s="5"/>
      <c r="P311" s="5" t="s">
        <v>1023</v>
      </c>
      <c r="Q311" s="14" t="s">
        <v>1024</v>
      </c>
      <c r="R311" s="7" t="n">
        <v>6014</v>
      </c>
      <c r="S311" s="7" t="n">
        <v>647</v>
      </c>
      <c r="T311" s="5" t="s">
        <v>1025</v>
      </c>
      <c r="U311" s="6" t="n">
        <v>433191.06</v>
      </c>
      <c r="V311" s="7" t="n">
        <v>9592</v>
      </c>
      <c r="W311" s="5" t="n">
        <v>13</v>
      </c>
      <c r="X311" s="7" t="n">
        <v>823</v>
      </c>
      <c r="Y311" s="7" t="n">
        <v>2453</v>
      </c>
      <c r="Z311" s="7" t="n">
        <v>1468</v>
      </c>
      <c r="AA311" s="10" t="n">
        <v>8.54</v>
      </c>
      <c r="AB311" s="11" t="n">
        <v>229.99</v>
      </c>
      <c r="AC311" s="10" t="n">
        <v>53.1</v>
      </c>
      <c r="AD311" s="12" t="n">
        <v>0.87</v>
      </c>
      <c r="AE311" s="12" t="n">
        <v>0.69</v>
      </c>
      <c r="AF311" s="12" t="n">
        <v>1</v>
      </c>
      <c r="AG311" s="7" t="n">
        <v>88</v>
      </c>
      <c r="AH311" s="7" t="n">
        <v>2558</v>
      </c>
      <c r="AI311" s="5" t="s">
        <v>1026</v>
      </c>
    </row>
    <row r="312" customFormat="false" ht="15" hidden="false" customHeight="false" outlineLevel="0" collapsed="false">
      <c r="A312" s="5" t="s">
        <v>446</v>
      </c>
      <c r="B312" s="5" t="s">
        <v>1027</v>
      </c>
      <c r="C312" s="5" t="s">
        <v>192</v>
      </c>
      <c r="D312" s="5" t="s">
        <v>446</v>
      </c>
      <c r="E312" s="5" t="s">
        <v>60</v>
      </c>
      <c r="F312" s="6" t="n">
        <v>16697.96</v>
      </c>
      <c r="G312" s="7" t="n">
        <v>89</v>
      </c>
      <c r="H312" s="8" t="n">
        <v>-0.5975</v>
      </c>
      <c r="I312" s="8" t="n">
        <v>-0.7786</v>
      </c>
      <c r="J312" s="7" t="n">
        <v>92</v>
      </c>
      <c r="K312" s="5" t="n">
        <v>13</v>
      </c>
      <c r="L312" s="5" t="n">
        <v>23</v>
      </c>
      <c r="M312" s="5" t="n">
        <v>3.9</v>
      </c>
      <c r="N312" s="9" t="s">
        <v>54</v>
      </c>
      <c r="O312" s="5"/>
      <c r="P312" s="5"/>
      <c r="Q312" s="5"/>
      <c r="R312" s="7"/>
      <c r="S312" s="7"/>
      <c r="T312" s="5"/>
      <c r="U312" s="6"/>
      <c r="V312" s="7"/>
      <c r="W312" s="5"/>
      <c r="X312" s="7"/>
      <c r="Y312" s="7"/>
      <c r="Z312" s="7"/>
      <c r="AA312" s="10"/>
      <c r="AB312" s="11"/>
      <c r="AC312" s="10"/>
      <c r="AD312" s="12"/>
      <c r="AE312" s="12"/>
      <c r="AF312" s="12"/>
      <c r="AG312" s="7"/>
      <c r="AH312" s="7"/>
      <c r="AI312" s="5" t="s">
        <v>1028</v>
      </c>
    </row>
    <row r="313" customFormat="false" ht="15" hidden="false" customHeight="false" outlineLevel="0" collapsed="false">
      <c r="A313" s="5" t="s">
        <v>446</v>
      </c>
      <c r="B313" s="5" t="s">
        <v>1029</v>
      </c>
      <c r="C313" s="5" t="s">
        <v>1030</v>
      </c>
      <c r="D313" s="5" t="s">
        <v>446</v>
      </c>
      <c r="E313" s="5" t="s">
        <v>60</v>
      </c>
      <c r="F313" s="6" t="n">
        <v>16673.04</v>
      </c>
      <c r="G313" s="7" t="n">
        <v>526</v>
      </c>
      <c r="H313" s="8" t="n">
        <v>0.9702</v>
      </c>
      <c r="I313" s="8" t="n">
        <v>0.5701</v>
      </c>
      <c r="J313" s="7" t="n">
        <v>51</v>
      </c>
      <c r="K313" s="5" t="n">
        <v>3</v>
      </c>
      <c r="L313" s="5" t="n">
        <v>54</v>
      </c>
      <c r="M313" s="5" t="n">
        <v>4.3</v>
      </c>
      <c r="N313" s="9" t="s">
        <v>54</v>
      </c>
      <c r="O313" s="5"/>
      <c r="P313" s="5"/>
      <c r="Q313" s="5"/>
      <c r="R313" s="7"/>
      <c r="S313" s="7"/>
      <c r="T313" s="5"/>
      <c r="U313" s="6"/>
      <c r="V313" s="7"/>
      <c r="W313" s="5"/>
      <c r="X313" s="7"/>
      <c r="Y313" s="7"/>
      <c r="Z313" s="7"/>
      <c r="AA313" s="10"/>
      <c r="AB313" s="11"/>
      <c r="AC313" s="10"/>
      <c r="AD313" s="12"/>
      <c r="AE313" s="12"/>
      <c r="AF313" s="12"/>
      <c r="AG313" s="7"/>
      <c r="AH313" s="7"/>
      <c r="AI313" s="5" t="s">
        <v>1031</v>
      </c>
    </row>
    <row r="314" customFormat="false" ht="15" hidden="false" customHeight="false" outlineLevel="0" collapsed="false">
      <c r="A314" s="5" t="s">
        <v>446</v>
      </c>
      <c r="B314" s="5" t="s">
        <v>1032</v>
      </c>
      <c r="C314" s="5" t="s">
        <v>1033</v>
      </c>
      <c r="D314" s="5" t="s">
        <v>446</v>
      </c>
      <c r="E314" s="5" t="s">
        <v>60</v>
      </c>
      <c r="F314" s="6" t="n">
        <v>16659</v>
      </c>
      <c r="G314" s="7" t="n">
        <v>303</v>
      </c>
      <c r="H314" s="8" t="n">
        <v>-0.8106</v>
      </c>
      <c r="I314" s="8" t="n">
        <v>-0.7452</v>
      </c>
      <c r="J314" s="7" t="n">
        <v>1928</v>
      </c>
      <c r="K314" s="5" t="n">
        <v>30</v>
      </c>
      <c r="L314" s="5" t="n">
        <v>87</v>
      </c>
      <c r="M314" s="5" t="n">
        <v>3.1</v>
      </c>
      <c r="N314" s="9" t="s">
        <v>54</v>
      </c>
      <c r="O314" s="5"/>
      <c r="P314" s="5" t="s">
        <v>1034</v>
      </c>
      <c r="Q314" s="14" t="s">
        <v>1035</v>
      </c>
      <c r="R314" s="7" t="n">
        <v>2549</v>
      </c>
      <c r="S314" s="7" t="n">
        <v>42</v>
      </c>
      <c r="T314" s="5" t="s">
        <v>1036</v>
      </c>
      <c r="U314" s="6" t="n">
        <v>266277.12</v>
      </c>
      <c r="V314" s="7" t="n">
        <v>7241</v>
      </c>
      <c r="W314" s="5" t="n">
        <v>118</v>
      </c>
      <c r="X314" s="7" t="n">
        <v>230</v>
      </c>
      <c r="Y314" s="7" t="n">
        <v>653</v>
      </c>
      <c r="Z314" s="7" t="n">
        <v>550</v>
      </c>
      <c r="AA314" s="10" t="n">
        <v>14.42</v>
      </c>
      <c r="AB314" s="11" t="n">
        <v>367</v>
      </c>
      <c r="AC314" s="10" t="n">
        <v>34.12</v>
      </c>
      <c r="AD314" s="12" t="n">
        <v>0.72</v>
      </c>
      <c r="AE314" s="12" t="n">
        <v>0.79</v>
      </c>
      <c r="AF314" s="12" t="n">
        <v>0.9</v>
      </c>
      <c r="AG314" s="7" t="n">
        <v>90</v>
      </c>
      <c r="AH314" s="7" t="n">
        <v>2579</v>
      </c>
      <c r="AI314" s="5" t="s">
        <v>1037</v>
      </c>
    </row>
    <row r="315" customFormat="false" ht="15" hidden="false" customHeight="false" outlineLevel="0" collapsed="false">
      <c r="A315" s="5" t="s">
        <v>446</v>
      </c>
      <c r="B315" s="5" t="s">
        <v>1038</v>
      </c>
      <c r="C315" s="5"/>
      <c r="D315" s="5" t="s">
        <v>446</v>
      </c>
      <c r="E315" s="5" t="s">
        <v>60</v>
      </c>
      <c r="F315" s="6" t="n">
        <v>16501.15</v>
      </c>
      <c r="G315" s="7" t="n">
        <v>612</v>
      </c>
      <c r="H315" s="8" t="n">
        <v>3.3481</v>
      </c>
      <c r="I315" s="8" t="n">
        <v>2.2727</v>
      </c>
      <c r="J315" s="7" t="n">
        <v>122</v>
      </c>
      <c r="K315" s="5" t="n">
        <v>11</v>
      </c>
      <c r="L315" s="5" t="n">
        <v>7</v>
      </c>
      <c r="M315" s="5" t="n">
        <v>4.4</v>
      </c>
      <c r="N315" s="9" t="s">
        <v>54</v>
      </c>
      <c r="O315" s="5"/>
      <c r="P315" s="5"/>
      <c r="Q315" s="5"/>
      <c r="R315" s="7"/>
      <c r="S315" s="7"/>
      <c r="T315" s="5"/>
      <c r="U315" s="6"/>
      <c r="V315" s="7"/>
      <c r="W315" s="5"/>
      <c r="X315" s="7"/>
      <c r="Y315" s="7"/>
      <c r="Z315" s="7"/>
      <c r="AA315" s="10"/>
      <c r="AB315" s="11"/>
      <c r="AC315" s="10"/>
      <c r="AD315" s="12"/>
      <c r="AE315" s="12"/>
      <c r="AF315" s="12"/>
      <c r="AG315" s="7"/>
      <c r="AH315" s="7"/>
      <c r="AI315" s="5" t="s">
        <v>1039</v>
      </c>
    </row>
    <row r="316" customFormat="false" ht="15" hidden="false" customHeight="false" outlineLevel="0" collapsed="false">
      <c r="A316" s="5" t="s">
        <v>446</v>
      </c>
      <c r="B316" s="5" t="s">
        <v>1040</v>
      </c>
      <c r="C316" s="5" t="s">
        <v>1040</v>
      </c>
      <c r="D316" s="5" t="s">
        <v>446</v>
      </c>
      <c r="E316" s="5" t="s">
        <v>60</v>
      </c>
      <c r="F316" s="6" t="n">
        <v>16395.73</v>
      </c>
      <c r="G316" s="7" t="n">
        <v>151</v>
      </c>
      <c r="H316" s="8" t="n">
        <v>0.1055</v>
      </c>
      <c r="I316" s="8" t="n">
        <v>-0.0958</v>
      </c>
      <c r="J316" s="7" t="n">
        <v>49</v>
      </c>
      <c r="K316" s="5" t="n">
        <v>4</v>
      </c>
      <c r="L316" s="5" t="n">
        <v>7</v>
      </c>
      <c r="M316" s="5" t="n">
        <v>4</v>
      </c>
      <c r="N316" s="9" t="s">
        <v>54</v>
      </c>
      <c r="O316" s="5"/>
      <c r="P316" s="5"/>
      <c r="Q316" s="5"/>
      <c r="R316" s="7"/>
      <c r="S316" s="7"/>
      <c r="T316" s="5"/>
      <c r="U316" s="6"/>
      <c r="V316" s="7"/>
      <c r="W316" s="5"/>
      <c r="X316" s="7"/>
      <c r="Y316" s="7"/>
      <c r="Z316" s="7"/>
      <c r="AA316" s="10"/>
      <c r="AB316" s="11"/>
      <c r="AC316" s="10"/>
      <c r="AD316" s="12"/>
      <c r="AE316" s="12"/>
      <c r="AF316" s="12"/>
      <c r="AG316" s="7"/>
      <c r="AH316" s="7"/>
      <c r="AI316" s="5" t="s">
        <v>1041</v>
      </c>
    </row>
    <row r="317" customFormat="false" ht="15" hidden="false" customHeight="false" outlineLevel="0" collapsed="false">
      <c r="A317" s="5" t="s">
        <v>446</v>
      </c>
      <c r="B317" s="5" t="s">
        <v>1042</v>
      </c>
      <c r="C317" s="5"/>
      <c r="D317" s="5" t="s">
        <v>446</v>
      </c>
      <c r="E317" s="5" t="s">
        <v>60</v>
      </c>
      <c r="F317" s="6" t="n">
        <v>16294.6</v>
      </c>
      <c r="G317" s="7" t="n">
        <v>164</v>
      </c>
      <c r="H317" s="8" t="n">
        <v>0.5878</v>
      </c>
      <c r="I317" s="8" t="n">
        <v>0.4775</v>
      </c>
      <c r="J317" s="7" t="n">
        <v>50</v>
      </c>
      <c r="K317" s="5" t="n">
        <v>12</v>
      </c>
      <c r="L317" s="5" t="n">
        <v>11</v>
      </c>
      <c r="M317" s="5" t="n">
        <v>3.9</v>
      </c>
      <c r="N317" s="9" t="s">
        <v>54</v>
      </c>
      <c r="O317" s="5"/>
      <c r="P317" s="5"/>
      <c r="Q317" s="5"/>
      <c r="R317" s="7"/>
      <c r="S317" s="7"/>
      <c r="T317" s="5"/>
      <c r="U317" s="6"/>
      <c r="V317" s="7"/>
      <c r="W317" s="5"/>
      <c r="X317" s="7"/>
      <c r="Y317" s="7"/>
      <c r="Z317" s="7"/>
      <c r="AA317" s="10"/>
      <c r="AB317" s="11"/>
      <c r="AC317" s="10"/>
      <c r="AD317" s="12"/>
      <c r="AE317" s="12"/>
      <c r="AF317" s="12"/>
      <c r="AG317" s="7"/>
      <c r="AH317" s="7"/>
      <c r="AI317" s="5" t="s">
        <v>1043</v>
      </c>
    </row>
    <row r="318" customFormat="false" ht="15" hidden="false" customHeight="false" outlineLevel="0" collapsed="false">
      <c r="A318" s="5" t="s">
        <v>446</v>
      </c>
      <c r="B318" s="5" t="s">
        <v>1044</v>
      </c>
      <c r="C318" s="5" t="s">
        <v>1045</v>
      </c>
      <c r="D318" s="5" t="s">
        <v>446</v>
      </c>
      <c r="E318" s="5" t="s">
        <v>53</v>
      </c>
      <c r="F318" s="6" t="n">
        <v>16168.77</v>
      </c>
      <c r="G318" s="7" t="n">
        <v>1206</v>
      </c>
      <c r="H318" s="8" t="n">
        <v>-0.3426</v>
      </c>
      <c r="I318" s="8" t="n">
        <v>-0.3578</v>
      </c>
      <c r="J318" s="7" t="n">
        <v>314</v>
      </c>
      <c r="K318" s="5" t="n">
        <v>5</v>
      </c>
      <c r="L318" s="5" t="n">
        <v>12</v>
      </c>
      <c r="M318" s="5" t="n">
        <v>4.6</v>
      </c>
      <c r="N318" s="9" t="s">
        <v>54</v>
      </c>
      <c r="O318" s="5"/>
      <c r="P318" s="5"/>
      <c r="Q318" s="5"/>
      <c r="R318" s="7"/>
      <c r="S318" s="7"/>
      <c r="T318" s="5"/>
      <c r="U318" s="6"/>
      <c r="V318" s="7"/>
      <c r="W318" s="5"/>
      <c r="X318" s="7"/>
      <c r="Y318" s="7"/>
      <c r="Z318" s="7"/>
      <c r="AA318" s="10"/>
      <c r="AB318" s="11"/>
      <c r="AC318" s="10"/>
      <c r="AD318" s="12"/>
      <c r="AE318" s="12"/>
      <c r="AF318" s="12"/>
      <c r="AG318" s="7"/>
      <c r="AH318" s="7"/>
      <c r="AI318" s="5" t="s">
        <v>1046</v>
      </c>
    </row>
    <row r="319" customFormat="false" ht="15" hidden="false" customHeight="false" outlineLevel="0" collapsed="false">
      <c r="A319" s="5" t="s">
        <v>446</v>
      </c>
      <c r="B319" s="5" t="s">
        <v>1047</v>
      </c>
      <c r="C319" s="5" t="s">
        <v>1048</v>
      </c>
      <c r="D319" s="5" t="s">
        <v>446</v>
      </c>
      <c r="E319" s="5" t="s">
        <v>60</v>
      </c>
      <c r="F319" s="6" t="n">
        <v>15689.3</v>
      </c>
      <c r="G319" s="7" t="n">
        <v>412</v>
      </c>
      <c r="H319" s="8" t="n">
        <v>-0.4863</v>
      </c>
      <c r="I319" s="8" t="n">
        <v>-0.4097</v>
      </c>
      <c r="J319" s="7" t="n">
        <v>118</v>
      </c>
      <c r="K319" s="5" t="n">
        <v>19</v>
      </c>
      <c r="L319" s="5" t="n">
        <v>57</v>
      </c>
      <c r="M319" s="5" t="n">
        <v>3.5</v>
      </c>
      <c r="N319" s="9" t="s">
        <v>54</v>
      </c>
      <c r="O319" s="5"/>
      <c r="P319" s="5"/>
      <c r="Q319" s="5"/>
      <c r="R319" s="7"/>
      <c r="S319" s="7"/>
      <c r="T319" s="5"/>
      <c r="U319" s="6"/>
      <c r="V319" s="7"/>
      <c r="W319" s="5"/>
      <c r="X319" s="7"/>
      <c r="Y319" s="7"/>
      <c r="Z319" s="7"/>
      <c r="AA319" s="10"/>
      <c r="AB319" s="11"/>
      <c r="AC319" s="10"/>
      <c r="AD319" s="12"/>
      <c r="AE319" s="12"/>
      <c r="AF319" s="12"/>
      <c r="AG319" s="7"/>
      <c r="AH319" s="7"/>
      <c r="AI319" s="5" t="s">
        <v>1049</v>
      </c>
    </row>
    <row r="320" customFormat="false" ht="15" hidden="false" customHeight="false" outlineLevel="0" collapsed="false">
      <c r="A320" s="5" t="s">
        <v>446</v>
      </c>
      <c r="B320" s="5" t="s">
        <v>1050</v>
      </c>
      <c r="C320" s="5"/>
      <c r="D320" s="5" t="s">
        <v>446</v>
      </c>
      <c r="E320" s="5" t="s">
        <v>53</v>
      </c>
      <c r="F320" s="6" t="n">
        <v>15280.89</v>
      </c>
      <c r="G320" s="7" t="n">
        <v>461</v>
      </c>
      <c r="H320" s="8" t="n">
        <v>3.863</v>
      </c>
      <c r="I320" s="8" t="n">
        <v>4.2386</v>
      </c>
      <c r="J320" s="7" t="n">
        <v>17</v>
      </c>
      <c r="K320" s="5" t="n">
        <v>3</v>
      </c>
      <c r="L320" s="5" t="n">
        <v>7</v>
      </c>
      <c r="M320" s="5" t="n">
        <v>4.6</v>
      </c>
      <c r="N320" s="9" t="s">
        <v>54</v>
      </c>
      <c r="O320" s="5"/>
      <c r="P320" s="5"/>
      <c r="Q320" s="5"/>
      <c r="R320" s="7"/>
      <c r="S320" s="7"/>
      <c r="T320" s="5"/>
      <c r="U320" s="6"/>
      <c r="V320" s="7"/>
      <c r="W320" s="5"/>
      <c r="X320" s="7"/>
      <c r="Y320" s="7"/>
      <c r="Z320" s="7"/>
      <c r="AA320" s="10"/>
      <c r="AB320" s="11"/>
      <c r="AC320" s="10"/>
      <c r="AD320" s="12"/>
      <c r="AE320" s="12"/>
      <c r="AF320" s="12"/>
      <c r="AG320" s="7"/>
      <c r="AH320" s="7"/>
      <c r="AI320" s="5" t="s">
        <v>1051</v>
      </c>
    </row>
    <row r="321" customFormat="false" ht="15" hidden="false" customHeight="false" outlineLevel="0" collapsed="false">
      <c r="A321" s="5" t="s">
        <v>446</v>
      </c>
      <c r="B321" s="5" t="s">
        <v>1052</v>
      </c>
      <c r="C321" s="5" t="s">
        <v>1053</v>
      </c>
      <c r="D321" s="5" t="s">
        <v>89</v>
      </c>
      <c r="E321" s="5" t="s">
        <v>60</v>
      </c>
      <c r="F321" s="6" t="n">
        <v>14001.46</v>
      </c>
      <c r="G321" s="7" t="n">
        <v>326</v>
      </c>
      <c r="H321" s="8" t="n">
        <v>-0.5278</v>
      </c>
      <c r="I321" s="8" t="n">
        <v>-0.6579</v>
      </c>
      <c r="J321" s="7" t="n">
        <v>171</v>
      </c>
      <c r="K321" s="5" t="n">
        <v>3</v>
      </c>
      <c r="L321" s="5" t="n">
        <v>108</v>
      </c>
      <c r="M321" s="5" t="n">
        <v>4.9</v>
      </c>
      <c r="N321" s="13" t="s">
        <v>61</v>
      </c>
      <c r="O321" s="5"/>
      <c r="P321" s="5"/>
      <c r="Q321" s="5"/>
      <c r="R321" s="7"/>
      <c r="S321" s="7"/>
      <c r="T321" s="5"/>
      <c r="U321" s="6"/>
      <c r="V321" s="7"/>
      <c r="W321" s="5"/>
      <c r="X321" s="7"/>
      <c r="Y321" s="7"/>
      <c r="Z321" s="7"/>
      <c r="AA321" s="10"/>
      <c r="AB321" s="11"/>
      <c r="AC321" s="10"/>
      <c r="AD321" s="12"/>
      <c r="AE321" s="12"/>
      <c r="AF321" s="12"/>
      <c r="AG321" s="7"/>
      <c r="AH321" s="7"/>
      <c r="AI321" s="5" t="s">
        <v>1054</v>
      </c>
    </row>
    <row r="322" customFormat="false" ht="15" hidden="false" customHeight="false" outlineLevel="0" collapsed="false">
      <c r="A322" s="5" t="s">
        <v>446</v>
      </c>
      <c r="B322" s="5" t="s">
        <v>1055</v>
      </c>
      <c r="C322" s="5" t="s">
        <v>1056</v>
      </c>
      <c r="D322" s="5" t="s">
        <v>89</v>
      </c>
      <c r="E322" s="5" t="s">
        <v>60</v>
      </c>
      <c r="F322" s="6" t="n">
        <v>13233.3</v>
      </c>
      <c r="G322" s="7" t="n">
        <v>880</v>
      </c>
      <c r="H322" s="8" t="n">
        <v>-0.1055</v>
      </c>
      <c r="I322" s="8" t="n">
        <v>-0.2233</v>
      </c>
      <c r="J322" s="7" t="n">
        <v>121</v>
      </c>
      <c r="K322" s="5" t="n">
        <v>6</v>
      </c>
      <c r="L322" s="5" t="n">
        <v>10</v>
      </c>
      <c r="M322" s="5" t="n">
        <v>4.2</v>
      </c>
      <c r="N322" s="13" t="s">
        <v>61</v>
      </c>
      <c r="O322" s="5"/>
      <c r="P322" s="5"/>
      <c r="Q322" s="5"/>
      <c r="R322" s="7"/>
      <c r="S322" s="7"/>
      <c r="T322" s="5"/>
      <c r="U322" s="6"/>
      <c r="V322" s="7"/>
      <c r="W322" s="5"/>
      <c r="X322" s="7"/>
      <c r="Y322" s="7"/>
      <c r="Z322" s="7"/>
      <c r="AA322" s="10"/>
      <c r="AB322" s="11"/>
      <c r="AC322" s="10"/>
      <c r="AD322" s="12"/>
      <c r="AE322" s="12"/>
      <c r="AF322" s="12"/>
      <c r="AG322" s="7"/>
      <c r="AH322" s="7"/>
      <c r="AI322" s="5" t="s">
        <v>1057</v>
      </c>
    </row>
    <row r="323" customFormat="false" ht="15" hidden="false" customHeight="false" outlineLevel="0" collapsed="false">
      <c r="A323" s="5" t="s">
        <v>446</v>
      </c>
      <c r="B323" s="5" t="s">
        <v>1058</v>
      </c>
      <c r="C323" s="5"/>
      <c r="D323" s="5" t="s">
        <v>89</v>
      </c>
      <c r="E323" s="5" t="s">
        <v>60</v>
      </c>
      <c r="F323" s="6" t="n">
        <v>13008.48</v>
      </c>
      <c r="G323" s="7" t="n">
        <v>717</v>
      </c>
      <c r="H323" s="8" t="n">
        <v>-0.4566</v>
      </c>
      <c r="I323" s="8" t="n">
        <v>-0.5782</v>
      </c>
      <c r="J323" s="7" t="n">
        <v>47</v>
      </c>
      <c r="K323" s="5" t="n">
        <v>17</v>
      </c>
      <c r="L323" s="5" t="n">
        <v>302</v>
      </c>
      <c r="M323" s="5" t="n">
        <v>3.1</v>
      </c>
      <c r="N323" s="15" t="s">
        <v>151</v>
      </c>
      <c r="O323" s="5" t="s">
        <v>1059</v>
      </c>
      <c r="P323" s="5"/>
      <c r="Q323" s="5"/>
      <c r="R323" s="7"/>
      <c r="S323" s="7"/>
      <c r="T323" s="5"/>
      <c r="U323" s="6"/>
      <c r="V323" s="7"/>
      <c r="W323" s="5"/>
      <c r="X323" s="7"/>
      <c r="Y323" s="7"/>
      <c r="Z323" s="7"/>
      <c r="AA323" s="10"/>
      <c r="AB323" s="11"/>
      <c r="AC323" s="10"/>
      <c r="AD323" s="12"/>
      <c r="AE323" s="12"/>
      <c r="AF323" s="12"/>
      <c r="AG323" s="7"/>
      <c r="AH323" s="7"/>
      <c r="AI323" s="5" t="s">
        <v>1060</v>
      </c>
    </row>
    <row r="324" customFormat="false" ht="15" hidden="false" customHeight="false" outlineLevel="0" collapsed="false">
      <c r="A324" s="5" t="s">
        <v>446</v>
      </c>
      <c r="B324" s="5" t="s">
        <v>1061</v>
      </c>
      <c r="C324" s="5" t="s">
        <v>1061</v>
      </c>
      <c r="D324" s="5" t="s">
        <v>446</v>
      </c>
      <c r="E324" s="5" t="s">
        <v>60</v>
      </c>
      <c r="F324" s="6" t="n">
        <v>12979.81</v>
      </c>
      <c r="G324" s="7" t="n">
        <v>477</v>
      </c>
      <c r="H324" s="8" t="n">
        <v>-0.4915</v>
      </c>
      <c r="I324" s="8" t="n">
        <v>-0.4622</v>
      </c>
      <c r="J324" s="7" t="n">
        <v>77</v>
      </c>
      <c r="K324" s="5" t="n">
        <v>9</v>
      </c>
      <c r="L324" s="5" t="n">
        <v>9</v>
      </c>
      <c r="M324" s="5" t="n">
        <v>4.3</v>
      </c>
      <c r="N324" s="9" t="s">
        <v>54</v>
      </c>
      <c r="O324" s="5"/>
      <c r="P324" s="5" t="s">
        <v>1062</v>
      </c>
      <c r="Q324" s="14" t="s">
        <v>1063</v>
      </c>
      <c r="R324" s="7" t="n">
        <v>619</v>
      </c>
      <c r="S324" s="7" t="n">
        <v>197</v>
      </c>
      <c r="T324" s="5" t="s">
        <v>1064</v>
      </c>
      <c r="U324" s="6" t="n">
        <v>291452.76</v>
      </c>
      <c r="V324" s="7" t="n">
        <v>18041</v>
      </c>
      <c r="W324" s="5" t="n">
        <v>103</v>
      </c>
      <c r="X324" s="7" t="n">
        <v>469</v>
      </c>
      <c r="Y324" s="7" t="n">
        <v>1136</v>
      </c>
      <c r="Z324" s="7" t="n">
        <v>865</v>
      </c>
      <c r="AA324" s="10" t="n">
        <v>0.69</v>
      </c>
      <c r="AB324" s="11" t="n">
        <v>75.88</v>
      </c>
      <c r="AC324" s="10" t="n">
        <v>13.18</v>
      </c>
      <c r="AD324" s="12" t="n">
        <v>0.61</v>
      </c>
      <c r="AE324" s="12" t="n">
        <v>0.84</v>
      </c>
      <c r="AF324" s="12" t="n">
        <v>1</v>
      </c>
      <c r="AG324" s="7" t="n">
        <v>96</v>
      </c>
      <c r="AH324" s="7" t="n">
        <v>3017</v>
      </c>
      <c r="AI324" s="5" t="s">
        <v>1065</v>
      </c>
    </row>
    <row r="325" customFormat="false" ht="15" hidden="false" customHeight="false" outlineLevel="0" collapsed="false">
      <c r="A325" s="5" t="s">
        <v>446</v>
      </c>
      <c r="B325" s="5" t="s">
        <v>1066</v>
      </c>
      <c r="C325" s="5"/>
      <c r="D325" s="5" t="s">
        <v>446</v>
      </c>
      <c r="E325" s="5" t="s">
        <v>60</v>
      </c>
      <c r="F325" s="6" t="n">
        <v>12978.01</v>
      </c>
      <c r="G325" s="7" t="n">
        <v>475</v>
      </c>
      <c r="H325" s="8" t="n">
        <v>0.4803</v>
      </c>
      <c r="I325" s="8" t="n">
        <v>1.0386</v>
      </c>
      <c r="J325" s="7" t="n">
        <v>90</v>
      </c>
      <c r="K325" s="5" t="n">
        <v>7</v>
      </c>
      <c r="L325" s="5" t="n">
        <v>36</v>
      </c>
      <c r="M325" s="5" t="n">
        <v>4.5</v>
      </c>
      <c r="N325" s="9" t="s">
        <v>54</v>
      </c>
      <c r="O325" s="5"/>
      <c r="P325" s="5" t="s">
        <v>1067</v>
      </c>
      <c r="Q325" s="14" t="s">
        <v>1068</v>
      </c>
      <c r="R325" s="7" t="n">
        <v>21376</v>
      </c>
      <c r="S325" s="7" t="n">
        <v>216</v>
      </c>
      <c r="T325" s="5" t="s">
        <v>1069</v>
      </c>
      <c r="U325" s="6" t="n">
        <v>70412.25</v>
      </c>
      <c r="V325" s="7" t="n">
        <v>4214</v>
      </c>
      <c r="W325" s="5" t="n">
        <v>175</v>
      </c>
      <c r="X325" s="7" t="n">
        <v>167</v>
      </c>
      <c r="Y325" s="7" t="n">
        <v>1000</v>
      </c>
      <c r="Z325" s="7" t="n">
        <v>21</v>
      </c>
      <c r="AA325" s="10" t="n">
        <v>0.98</v>
      </c>
      <c r="AB325" s="11" t="n">
        <v>146.98</v>
      </c>
      <c r="AC325" s="10" t="n">
        <v>17.72</v>
      </c>
      <c r="AD325" s="12"/>
      <c r="AE325" s="12"/>
      <c r="AF325" s="12"/>
      <c r="AG325" s="7" t="n">
        <v>40</v>
      </c>
      <c r="AH325" s="7" t="n">
        <v>2831</v>
      </c>
      <c r="AI325" s="5" t="s">
        <v>1070</v>
      </c>
    </row>
    <row r="326" customFormat="false" ht="15" hidden="false" customHeight="false" outlineLevel="0" collapsed="false">
      <c r="A326" s="5" t="s">
        <v>446</v>
      </c>
      <c r="B326" s="5" t="s">
        <v>1071</v>
      </c>
      <c r="C326" s="5"/>
      <c r="D326" s="5" t="s">
        <v>730</v>
      </c>
      <c r="E326" s="5" t="s">
        <v>60</v>
      </c>
      <c r="F326" s="6" t="n">
        <v>12744.27</v>
      </c>
      <c r="G326" s="7" t="n">
        <v>227</v>
      </c>
      <c r="H326" s="8" t="n">
        <v>0</v>
      </c>
      <c r="I326" s="8" t="n">
        <v>0</v>
      </c>
      <c r="J326" s="7" t="n">
        <v>50</v>
      </c>
      <c r="K326" s="5" t="n">
        <v>3</v>
      </c>
      <c r="L326" s="5" t="n">
        <v>29</v>
      </c>
      <c r="M326" s="5" t="n">
        <v>4.2</v>
      </c>
      <c r="N326" s="13" t="s">
        <v>61</v>
      </c>
      <c r="O326" s="5"/>
      <c r="P326" s="5"/>
      <c r="Q326" s="5"/>
      <c r="R326" s="7"/>
      <c r="S326" s="7"/>
      <c r="T326" s="5"/>
      <c r="U326" s="6"/>
      <c r="V326" s="7"/>
      <c r="W326" s="5"/>
      <c r="X326" s="7"/>
      <c r="Y326" s="7"/>
      <c r="Z326" s="7"/>
      <c r="AA326" s="10"/>
      <c r="AB326" s="11"/>
      <c r="AC326" s="10"/>
      <c r="AD326" s="12"/>
      <c r="AE326" s="12"/>
      <c r="AF326" s="12"/>
      <c r="AG326" s="7"/>
      <c r="AH326" s="7"/>
      <c r="AI326" s="5" t="s">
        <v>1072</v>
      </c>
    </row>
    <row r="327" customFormat="false" ht="15" hidden="false" customHeight="false" outlineLevel="0" collapsed="false">
      <c r="A327" s="5" t="s">
        <v>446</v>
      </c>
      <c r="B327" s="5" t="s">
        <v>1073</v>
      </c>
      <c r="C327" s="5" t="s">
        <v>1074</v>
      </c>
      <c r="D327" s="5" t="s">
        <v>446</v>
      </c>
      <c r="E327" s="5" t="s">
        <v>53</v>
      </c>
      <c r="F327" s="6" t="n">
        <v>12421.7</v>
      </c>
      <c r="G327" s="7" t="n">
        <v>1154</v>
      </c>
      <c r="H327" s="8" t="n">
        <v>-0.328</v>
      </c>
      <c r="I327" s="8" t="n">
        <v>-0.2841</v>
      </c>
      <c r="J327" s="7" t="n">
        <v>265</v>
      </c>
      <c r="K327" s="5" t="n">
        <v>29</v>
      </c>
      <c r="L327" s="5" t="n">
        <v>111</v>
      </c>
      <c r="M327" s="5" t="n">
        <v>3.2</v>
      </c>
      <c r="N327" s="9" t="s">
        <v>54</v>
      </c>
      <c r="O327" s="5"/>
      <c r="P327" s="5"/>
      <c r="Q327" s="5"/>
      <c r="R327" s="7"/>
      <c r="S327" s="7"/>
      <c r="T327" s="5"/>
      <c r="U327" s="6"/>
      <c r="V327" s="7"/>
      <c r="W327" s="5"/>
      <c r="X327" s="7"/>
      <c r="Y327" s="7"/>
      <c r="Z327" s="7"/>
      <c r="AA327" s="10"/>
      <c r="AB327" s="11"/>
      <c r="AC327" s="10"/>
      <c r="AD327" s="12"/>
      <c r="AE327" s="12"/>
      <c r="AF327" s="12"/>
      <c r="AG327" s="7"/>
      <c r="AH327" s="7"/>
      <c r="AI327" s="5" t="s">
        <v>1075</v>
      </c>
    </row>
    <row r="328" customFormat="false" ht="15" hidden="false" customHeight="false" outlineLevel="0" collapsed="false">
      <c r="A328" s="5" t="s">
        <v>446</v>
      </c>
      <c r="B328" s="5" t="s">
        <v>1076</v>
      </c>
      <c r="C328" s="5"/>
      <c r="D328" s="5" t="s">
        <v>446</v>
      </c>
      <c r="E328" s="5" t="s">
        <v>60</v>
      </c>
      <c r="F328" s="6" t="n">
        <v>11929.44</v>
      </c>
      <c r="G328" s="7" t="n">
        <v>46</v>
      </c>
      <c r="H328" s="8" t="n">
        <v>-0.6521</v>
      </c>
      <c r="I328" s="8" t="n">
        <v>-0.7178</v>
      </c>
      <c r="J328" s="7" t="n">
        <v>36</v>
      </c>
      <c r="K328" s="5" t="n">
        <v>4</v>
      </c>
      <c r="L328" s="5" t="n">
        <v>6</v>
      </c>
      <c r="M328" s="5" t="n">
        <v>3.2</v>
      </c>
      <c r="N328" s="9" t="s">
        <v>54</v>
      </c>
      <c r="O328" s="5" t="s">
        <v>258</v>
      </c>
      <c r="P328" s="5"/>
      <c r="Q328" s="5"/>
      <c r="R328" s="7"/>
      <c r="S328" s="7"/>
      <c r="T328" s="5" t="s">
        <v>1077</v>
      </c>
      <c r="U328" s="6" t="n">
        <v>57684.41</v>
      </c>
      <c r="V328" s="7" t="n">
        <v>336</v>
      </c>
      <c r="W328" s="5" t="n">
        <v>6</v>
      </c>
      <c r="X328" s="7" t="n">
        <v>105</v>
      </c>
      <c r="Y328" s="7" t="n">
        <v>215</v>
      </c>
      <c r="Z328" s="7" t="n">
        <v>101</v>
      </c>
      <c r="AA328" s="10" t="n">
        <v>35.37</v>
      </c>
      <c r="AB328" s="11" t="n">
        <v>1456.29</v>
      </c>
      <c r="AC328" s="10"/>
      <c r="AD328" s="12"/>
      <c r="AE328" s="12"/>
      <c r="AF328" s="12"/>
      <c r="AG328" s="7" t="n">
        <v>99</v>
      </c>
      <c r="AH328" s="7" t="n">
        <v>3171</v>
      </c>
      <c r="AI328" s="5" t="s">
        <v>1078</v>
      </c>
    </row>
    <row r="329" customFormat="false" ht="15" hidden="false" customHeight="false" outlineLevel="0" collapsed="false">
      <c r="A329" s="5" t="s">
        <v>446</v>
      </c>
      <c r="B329" s="5" t="s">
        <v>1079</v>
      </c>
      <c r="C329" s="5" t="s">
        <v>1080</v>
      </c>
      <c r="D329" s="5" t="s">
        <v>446</v>
      </c>
      <c r="E329" s="5" t="s">
        <v>53</v>
      </c>
      <c r="F329" s="6" t="n">
        <v>11758.24</v>
      </c>
      <c r="G329" s="7" t="n">
        <v>132</v>
      </c>
      <c r="H329" s="8" t="n">
        <v>-0.3418</v>
      </c>
      <c r="I329" s="8" t="n">
        <v>-0.4261</v>
      </c>
      <c r="J329" s="7" t="n">
        <v>111</v>
      </c>
      <c r="K329" s="5" t="n">
        <v>4</v>
      </c>
      <c r="L329" s="5" t="n">
        <v>4</v>
      </c>
      <c r="M329" s="5" t="n">
        <v>4.3</v>
      </c>
      <c r="N329" s="9" t="s">
        <v>54</v>
      </c>
      <c r="O329" s="5"/>
      <c r="P329" s="5"/>
      <c r="Q329" s="5"/>
      <c r="R329" s="7"/>
      <c r="S329" s="7"/>
      <c r="T329" s="5"/>
      <c r="U329" s="6"/>
      <c r="V329" s="7"/>
      <c r="W329" s="5"/>
      <c r="X329" s="7"/>
      <c r="Y329" s="7"/>
      <c r="Z329" s="7"/>
      <c r="AA329" s="10"/>
      <c r="AB329" s="11"/>
      <c r="AC329" s="10"/>
      <c r="AD329" s="12"/>
      <c r="AE329" s="12"/>
      <c r="AF329" s="12"/>
      <c r="AG329" s="7"/>
      <c r="AH329" s="7"/>
      <c r="AI329" s="5" t="s">
        <v>1081</v>
      </c>
    </row>
    <row r="330" customFormat="false" ht="15" hidden="false" customHeight="false" outlineLevel="0" collapsed="false">
      <c r="A330" s="5" t="s">
        <v>446</v>
      </c>
      <c r="B330" s="5" t="s">
        <v>1082</v>
      </c>
      <c r="C330" s="5" t="s">
        <v>1083</v>
      </c>
      <c r="D330" s="5" t="s">
        <v>59</v>
      </c>
      <c r="E330" s="5" t="s">
        <v>60</v>
      </c>
      <c r="F330" s="6" t="n">
        <v>10626.76</v>
      </c>
      <c r="G330" s="7" t="n">
        <v>663</v>
      </c>
      <c r="H330" s="8" t="n">
        <v>0.3524</v>
      </c>
      <c r="I330" s="8" t="n">
        <v>0.5674</v>
      </c>
      <c r="J330" s="7" t="n">
        <v>47</v>
      </c>
      <c r="K330" s="5" t="n">
        <v>5</v>
      </c>
      <c r="L330" s="5" t="n">
        <v>257</v>
      </c>
      <c r="M330" s="5" t="n">
        <v>3.1</v>
      </c>
      <c r="N330" s="15" t="s">
        <v>151</v>
      </c>
      <c r="O330" s="5" t="s">
        <v>1084</v>
      </c>
      <c r="P330" s="5"/>
      <c r="Q330" s="5"/>
      <c r="R330" s="7"/>
      <c r="S330" s="7"/>
      <c r="T330" s="5"/>
      <c r="U330" s="6"/>
      <c r="V330" s="7"/>
      <c r="W330" s="5"/>
      <c r="X330" s="7"/>
      <c r="Y330" s="7"/>
      <c r="Z330" s="7"/>
      <c r="AA330" s="10"/>
      <c r="AB330" s="11"/>
      <c r="AC330" s="10"/>
      <c r="AD330" s="12"/>
      <c r="AE330" s="12"/>
      <c r="AF330" s="12"/>
      <c r="AG330" s="7"/>
      <c r="AH330" s="7"/>
      <c r="AI330" s="5" t="s">
        <v>1085</v>
      </c>
    </row>
    <row r="331" customFormat="false" ht="15" hidden="false" customHeight="false" outlineLevel="0" collapsed="false">
      <c r="A331" s="5" t="s">
        <v>1086</v>
      </c>
      <c r="B331" s="5" t="s">
        <v>1087</v>
      </c>
      <c r="C331" s="5" t="s">
        <v>1088</v>
      </c>
      <c r="D331" s="5" t="s">
        <v>1086</v>
      </c>
      <c r="E331" s="5" t="s">
        <v>53</v>
      </c>
      <c r="F331" s="6" t="n">
        <v>29841.57</v>
      </c>
      <c r="G331" s="7" t="n">
        <v>968</v>
      </c>
      <c r="H331" s="8" t="n">
        <v>6.6549</v>
      </c>
      <c r="I331" s="8" t="n">
        <v>5.2051</v>
      </c>
      <c r="J331" s="7" t="n">
        <v>141</v>
      </c>
      <c r="K331" s="5" t="n">
        <v>4</v>
      </c>
      <c r="L331" s="5" t="n">
        <v>10</v>
      </c>
      <c r="M331" s="5" t="n">
        <v>4.5</v>
      </c>
      <c r="N331" s="9" t="s">
        <v>54</v>
      </c>
      <c r="O331" s="5"/>
      <c r="P331" s="5"/>
      <c r="Q331" s="5"/>
      <c r="R331" s="7"/>
      <c r="S331" s="7"/>
      <c r="T331" s="5"/>
      <c r="U331" s="6"/>
      <c r="V331" s="7"/>
      <c r="W331" s="5"/>
      <c r="X331" s="7"/>
      <c r="Y331" s="7"/>
      <c r="Z331" s="7"/>
      <c r="AA331" s="10"/>
      <c r="AB331" s="11"/>
      <c r="AC331" s="10"/>
      <c r="AD331" s="12"/>
      <c r="AE331" s="12"/>
      <c r="AF331" s="12"/>
      <c r="AG331" s="7"/>
      <c r="AH331" s="7"/>
      <c r="AI331" s="5" t="s">
        <v>1089</v>
      </c>
    </row>
    <row r="332" customFormat="false" ht="15" hidden="false" customHeight="false" outlineLevel="0" collapsed="false">
      <c r="A332" s="5" t="s">
        <v>1086</v>
      </c>
      <c r="B332" s="5" t="s">
        <v>1090</v>
      </c>
      <c r="C332" s="5" t="s">
        <v>1091</v>
      </c>
      <c r="D332" s="5" t="s">
        <v>1086</v>
      </c>
      <c r="E332" s="5" t="s">
        <v>60</v>
      </c>
      <c r="F332" s="6" t="n">
        <v>29338</v>
      </c>
      <c r="G332" s="7" t="n">
        <v>1543</v>
      </c>
      <c r="H332" s="8" t="n">
        <v>0.7318</v>
      </c>
      <c r="I332" s="8" t="n">
        <v>0.7494</v>
      </c>
      <c r="J332" s="7" t="n">
        <v>47</v>
      </c>
      <c r="K332" s="5" t="n">
        <v>148</v>
      </c>
      <c r="L332" s="5" t="n">
        <v>896</v>
      </c>
      <c r="M332" s="5" t="n">
        <v>4.7</v>
      </c>
      <c r="N332" s="9" t="s">
        <v>54</v>
      </c>
      <c r="O332" s="5"/>
      <c r="P332" s="5"/>
      <c r="Q332" s="5"/>
      <c r="R332" s="7"/>
      <c r="S332" s="7"/>
      <c r="T332" s="5"/>
      <c r="U332" s="6"/>
      <c r="V332" s="7"/>
      <c r="W332" s="5"/>
      <c r="X332" s="7"/>
      <c r="Y332" s="7"/>
      <c r="Z332" s="7"/>
      <c r="AA332" s="10"/>
      <c r="AB332" s="11"/>
      <c r="AC332" s="10"/>
      <c r="AD332" s="12"/>
      <c r="AE332" s="12"/>
      <c r="AF332" s="12"/>
      <c r="AG332" s="7"/>
      <c r="AH332" s="7"/>
      <c r="AI332" s="5" t="s">
        <v>1092</v>
      </c>
    </row>
    <row r="333" customFormat="false" ht="15" hidden="false" customHeight="false" outlineLevel="0" collapsed="false">
      <c r="A333" s="5" t="s">
        <v>1086</v>
      </c>
      <c r="B333" s="5" t="s">
        <v>1093</v>
      </c>
      <c r="C333" s="5" t="s">
        <v>1094</v>
      </c>
      <c r="D333" s="5" t="s">
        <v>1095</v>
      </c>
      <c r="E333" s="5" t="s">
        <v>60</v>
      </c>
      <c r="F333" s="6" t="n">
        <v>26962.24</v>
      </c>
      <c r="G333" s="7" t="n">
        <v>1371</v>
      </c>
      <c r="H333" s="8" t="n">
        <v>-0.1546</v>
      </c>
      <c r="I333" s="8" t="n">
        <v>-0.2125</v>
      </c>
      <c r="J333" s="7" t="n">
        <v>125</v>
      </c>
      <c r="K333" s="5" t="n">
        <v>10</v>
      </c>
      <c r="L333" s="5" t="n">
        <v>210</v>
      </c>
      <c r="M333" s="5" t="n">
        <v>4.5</v>
      </c>
      <c r="N333" s="13" t="s">
        <v>61</v>
      </c>
      <c r="O333" s="5"/>
      <c r="P333" s="5"/>
      <c r="Q333" s="5"/>
      <c r="R333" s="7"/>
      <c r="S333" s="7"/>
      <c r="T333" s="5"/>
      <c r="U333" s="6"/>
      <c r="V333" s="7"/>
      <c r="W333" s="5"/>
      <c r="X333" s="7"/>
      <c r="Y333" s="7"/>
      <c r="Z333" s="7"/>
      <c r="AA333" s="10"/>
      <c r="AB333" s="11"/>
      <c r="AC333" s="10"/>
      <c r="AD333" s="12"/>
      <c r="AE333" s="12"/>
      <c r="AF333" s="12"/>
      <c r="AG333" s="7"/>
      <c r="AH333" s="7"/>
      <c r="AI333" s="5" t="s">
        <v>1096</v>
      </c>
    </row>
    <row r="334" customFormat="false" ht="15" hidden="false" customHeight="false" outlineLevel="0" collapsed="false">
      <c r="A334" s="5" t="s">
        <v>1086</v>
      </c>
      <c r="B334" s="5" t="s">
        <v>1097</v>
      </c>
      <c r="C334" s="5" t="s">
        <v>1098</v>
      </c>
      <c r="D334" s="5" t="s">
        <v>1086</v>
      </c>
      <c r="E334" s="5" t="s">
        <v>60</v>
      </c>
      <c r="F334" s="6" t="n">
        <v>22852.25</v>
      </c>
      <c r="G334" s="7" t="n">
        <v>1829</v>
      </c>
      <c r="H334" s="8" t="n">
        <v>-0.6764</v>
      </c>
      <c r="I334" s="8" t="n">
        <v>-0.6889</v>
      </c>
      <c r="J334" s="7" t="n">
        <v>265</v>
      </c>
      <c r="K334" s="5" t="n">
        <v>65</v>
      </c>
      <c r="L334" s="5" t="n">
        <v>333</v>
      </c>
      <c r="M334" s="5" t="n">
        <v>3.8</v>
      </c>
      <c r="N334" s="9" t="s">
        <v>54</v>
      </c>
      <c r="O334" s="5"/>
      <c r="P334" s="5"/>
      <c r="Q334" s="5"/>
      <c r="R334" s="7"/>
      <c r="S334" s="7"/>
      <c r="T334" s="5"/>
      <c r="U334" s="6"/>
      <c r="V334" s="7"/>
      <c r="W334" s="5"/>
      <c r="X334" s="7"/>
      <c r="Y334" s="7"/>
      <c r="Z334" s="7"/>
      <c r="AA334" s="10"/>
      <c r="AB334" s="11"/>
      <c r="AC334" s="10"/>
      <c r="AD334" s="12"/>
      <c r="AE334" s="12"/>
      <c r="AF334" s="12"/>
      <c r="AG334" s="7"/>
      <c r="AH334" s="7"/>
      <c r="AI334" s="5" t="s">
        <v>1099</v>
      </c>
    </row>
    <row r="335" customFormat="false" ht="15" hidden="false" customHeight="false" outlineLevel="0" collapsed="false">
      <c r="A335" s="5" t="s">
        <v>1086</v>
      </c>
      <c r="B335" s="5" t="s">
        <v>1100</v>
      </c>
      <c r="C335" s="5"/>
      <c r="D335" s="5" t="s">
        <v>449</v>
      </c>
      <c r="E335" s="5" t="s">
        <v>60</v>
      </c>
      <c r="F335" s="6" t="n">
        <v>22338.41</v>
      </c>
      <c r="G335" s="7" t="n">
        <v>477</v>
      </c>
      <c r="H335" s="8" t="n">
        <v>0.6581</v>
      </c>
      <c r="I335" s="8" t="n">
        <v>-0.2103</v>
      </c>
      <c r="J335" s="7" t="n">
        <v>481</v>
      </c>
      <c r="K335" s="5" t="n">
        <v>13</v>
      </c>
      <c r="L335" s="5" t="n">
        <v>89</v>
      </c>
      <c r="M335" s="5" t="n">
        <v>4.4</v>
      </c>
      <c r="N335" s="13" t="s">
        <v>61</v>
      </c>
      <c r="O335" s="5"/>
      <c r="P335" s="5"/>
      <c r="Q335" s="5"/>
      <c r="R335" s="7"/>
      <c r="S335" s="7"/>
      <c r="T335" s="5"/>
      <c r="U335" s="6"/>
      <c r="V335" s="7"/>
      <c r="W335" s="5"/>
      <c r="X335" s="7"/>
      <c r="Y335" s="7"/>
      <c r="Z335" s="7"/>
      <c r="AA335" s="10"/>
      <c r="AB335" s="11"/>
      <c r="AC335" s="10"/>
      <c r="AD335" s="12"/>
      <c r="AE335" s="12"/>
      <c r="AF335" s="12"/>
      <c r="AG335" s="7"/>
      <c r="AH335" s="7"/>
      <c r="AI335" s="5" t="s">
        <v>1101</v>
      </c>
    </row>
    <row r="336" customFormat="false" ht="15" hidden="false" customHeight="false" outlineLevel="0" collapsed="false">
      <c r="A336" s="5" t="s">
        <v>1086</v>
      </c>
      <c r="B336" s="5" t="s">
        <v>1102</v>
      </c>
      <c r="C336" s="5" t="s">
        <v>1103</v>
      </c>
      <c r="D336" s="5" t="s">
        <v>1095</v>
      </c>
      <c r="E336" s="5" t="s">
        <v>60</v>
      </c>
      <c r="F336" s="6" t="n">
        <v>20595.83</v>
      </c>
      <c r="G336" s="7" t="n">
        <v>1234</v>
      </c>
      <c r="H336" s="8" t="n">
        <v>0.5907</v>
      </c>
      <c r="I336" s="8" t="n">
        <v>0.1107</v>
      </c>
      <c r="J336" s="7" t="n">
        <v>228</v>
      </c>
      <c r="K336" s="5" t="n">
        <v>28</v>
      </c>
      <c r="L336" s="5" t="n">
        <v>150</v>
      </c>
      <c r="M336" s="5" t="n">
        <v>4.7</v>
      </c>
      <c r="N336" s="13" t="s">
        <v>61</v>
      </c>
      <c r="O336" s="5"/>
      <c r="P336" s="5"/>
      <c r="Q336" s="5"/>
      <c r="R336" s="7"/>
      <c r="S336" s="7"/>
      <c r="T336" s="5"/>
      <c r="U336" s="6"/>
      <c r="V336" s="7"/>
      <c r="W336" s="5"/>
      <c r="X336" s="7"/>
      <c r="Y336" s="7"/>
      <c r="Z336" s="7"/>
      <c r="AA336" s="10"/>
      <c r="AB336" s="11"/>
      <c r="AC336" s="10"/>
      <c r="AD336" s="12"/>
      <c r="AE336" s="12"/>
      <c r="AF336" s="12"/>
      <c r="AG336" s="7"/>
      <c r="AH336" s="7"/>
      <c r="AI336" s="5" t="s">
        <v>1104</v>
      </c>
    </row>
    <row r="337" customFormat="false" ht="15" hidden="false" customHeight="false" outlineLevel="0" collapsed="false">
      <c r="A337" s="5" t="s">
        <v>1086</v>
      </c>
      <c r="B337" s="5" t="s">
        <v>1105</v>
      </c>
      <c r="C337" s="5" t="s">
        <v>1106</v>
      </c>
      <c r="D337" s="5" t="s">
        <v>1086</v>
      </c>
      <c r="E337" s="5" t="s">
        <v>60</v>
      </c>
      <c r="F337" s="6" t="n">
        <v>19460.27</v>
      </c>
      <c r="G337" s="7" t="n">
        <v>675</v>
      </c>
      <c r="H337" s="8" t="n">
        <v>-0.4973</v>
      </c>
      <c r="I337" s="8" t="n">
        <v>-0.5313</v>
      </c>
      <c r="J337" s="7" t="n">
        <v>360</v>
      </c>
      <c r="K337" s="5" t="n">
        <v>84</v>
      </c>
      <c r="L337" s="5" t="n">
        <v>289</v>
      </c>
      <c r="M337" s="5" t="n">
        <v>4.7</v>
      </c>
      <c r="N337" s="9" t="s">
        <v>54</v>
      </c>
      <c r="O337" s="5"/>
      <c r="P337" s="5"/>
      <c r="Q337" s="5"/>
      <c r="R337" s="7"/>
      <c r="S337" s="7"/>
      <c r="T337" s="5"/>
      <c r="U337" s="6"/>
      <c r="V337" s="7"/>
      <c r="W337" s="5"/>
      <c r="X337" s="7"/>
      <c r="Y337" s="7"/>
      <c r="Z337" s="7"/>
      <c r="AA337" s="10"/>
      <c r="AB337" s="11"/>
      <c r="AC337" s="10"/>
      <c r="AD337" s="12"/>
      <c r="AE337" s="12"/>
      <c r="AF337" s="12"/>
      <c r="AG337" s="7"/>
      <c r="AH337" s="7"/>
      <c r="AI337" s="5" t="s">
        <v>1107</v>
      </c>
    </row>
    <row r="338" customFormat="false" ht="15" hidden="false" customHeight="false" outlineLevel="0" collapsed="false">
      <c r="A338" s="5" t="s">
        <v>1086</v>
      </c>
      <c r="B338" s="5" t="s">
        <v>1108</v>
      </c>
      <c r="C338" s="5"/>
      <c r="D338" s="5" t="s">
        <v>1086</v>
      </c>
      <c r="E338" s="5" t="s">
        <v>60</v>
      </c>
      <c r="F338" s="6" t="n">
        <v>18993.29</v>
      </c>
      <c r="G338" s="7" t="n">
        <v>1120</v>
      </c>
      <c r="H338" s="8" t="n">
        <v>4.5444</v>
      </c>
      <c r="I338" s="8" t="n">
        <v>4.1852</v>
      </c>
      <c r="J338" s="7" t="n">
        <v>390</v>
      </c>
      <c r="K338" s="5" t="n">
        <v>19</v>
      </c>
      <c r="L338" s="5" t="n">
        <v>202</v>
      </c>
      <c r="M338" s="5" t="n">
        <v>4.6</v>
      </c>
      <c r="N338" s="9" t="s">
        <v>54</v>
      </c>
      <c r="O338" s="5"/>
      <c r="P338" s="5"/>
      <c r="Q338" s="5"/>
      <c r="R338" s="7"/>
      <c r="S338" s="7"/>
      <c r="T338" s="5"/>
      <c r="U338" s="6"/>
      <c r="V338" s="7"/>
      <c r="W338" s="5"/>
      <c r="X338" s="7"/>
      <c r="Y338" s="7"/>
      <c r="Z338" s="7"/>
      <c r="AA338" s="10"/>
      <c r="AB338" s="11"/>
      <c r="AC338" s="10"/>
      <c r="AD338" s="12"/>
      <c r="AE338" s="12"/>
      <c r="AF338" s="12"/>
      <c r="AG338" s="7"/>
      <c r="AH338" s="7"/>
      <c r="AI338" s="5" t="s">
        <v>1109</v>
      </c>
    </row>
    <row r="339" customFormat="false" ht="15" hidden="false" customHeight="false" outlineLevel="0" collapsed="false">
      <c r="A339" s="5" t="s">
        <v>1086</v>
      </c>
      <c r="B339" s="5" t="s">
        <v>1110</v>
      </c>
      <c r="C339" s="5"/>
      <c r="D339" s="5" t="s">
        <v>449</v>
      </c>
      <c r="E339" s="5" t="s">
        <v>60</v>
      </c>
      <c r="F339" s="6" t="n">
        <v>18765.38</v>
      </c>
      <c r="G339" s="7" t="n">
        <v>530</v>
      </c>
      <c r="H339" s="8" t="n">
        <v>0</v>
      </c>
      <c r="I339" s="8" t="n">
        <v>0</v>
      </c>
      <c r="J339" s="7" t="n">
        <v>126</v>
      </c>
      <c r="K339" s="5" t="n">
        <v>2</v>
      </c>
      <c r="L339" s="5" t="n">
        <v>49</v>
      </c>
      <c r="M339" s="5" t="n">
        <v>4.7</v>
      </c>
      <c r="N339" s="13" t="s">
        <v>61</v>
      </c>
      <c r="O339" s="5"/>
      <c r="P339" s="5"/>
      <c r="Q339" s="5"/>
      <c r="R339" s="7"/>
      <c r="S339" s="7"/>
      <c r="T339" s="5"/>
      <c r="U339" s="6"/>
      <c r="V339" s="7"/>
      <c r="W339" s="5"/>
      <c r="X339" s="7"/>
      <c r="Y339" s="7"/>
      <c r="Z339" s="7"/>
      <c r="AA339" s="10"/>
      <c r="AB339" s="11"/>
      <c r="AC339" s="10"/>
      <c r="AD339" s="12"/>
      <c r="AE339" s="12"/>
      <c r="AF339" s="12"/>
      <c r="AG339" s="7"/>
      <c r="AH339" s="7"/>
      <c r="AI339" s="5" t="s">
        <v>1111</v>
      </c>
    </row>
    <row r="340" customFormat="false" ht="15" hidden="false" customHeight="false" outlineLevel="0" collapsed="false">
      <c r="A340" s="5" t="s">
        <v>1086</v>
      </c>
      <c r="B340" s="5" t="s">
        <v>1112</v>
      </c>
      <c r="C340" s="5" t="s">
        <v>1113</v>
      </c>
      <c r="D340" s="5" t="s">
        <v>1086</v>
      </c>
      <c r="E340" s="5" t="s">
        <v>53</v>
      </c>
      <c r="F340" s="6" t="n">
        <v>17076.03</v>
      </c>
      <c r="G340" s="7" t="n">
        <v>719</v>
      </c>
      <c r="H340" s="8" t="n">
        <v>-0.5352</v>
      </c>
      <c r="I340" s="8" t="n">
        <v>-0.5997</v>
      </c>
      <c r="J340" s="7" t="n">
        <v>600</v>
      </c>
      <c r="K340" s="5" t="n">
        <v>47</v>
      </c>
      <c r="L340" s="5" t="n">
        <v>398</v>
      </c>
      <c r="M340" s="5" t="n">
        <v>4.4</v>
      </c>
      <c r="N340" s="15" t="s">
        <v>151</v>
      </c>
      <c r="O340" s="5" t="s">
        <v>1114</v>
      </c>
      <c r="P340" s="5"/>
      <c r="Q340" s="5"/>
      <c r="R340" s="7"/>
      <c r="S340" s="7"/>
      <c r="T340" s="5"/>
      <c r="U340" s="6"/>
      <c r="V340" s="7"/>
      <c r="W340" s="5"/>
      <c r="X340" s="7"/>
      <c r="Y340" s="7"/>
      <c r="Z340" s="7"/>
      <c r="AA340" s="10"/>
      <c r="AB340" s="11"/>
      <c r="AC340" s="10"/>
      <c r="AD340" s="12"/>
      <c r="AE340" s="12"/>
      <c r="AF340" s="12"/>
      <c r="AG340" s="7"/>
      <c r="AH340" s="7"/>
      <c r="AI340" s="5" t="s">
        <v>1115</v>
      </c>
    </row>
    <row r="341" customFormat="false" ht="15" hidden="false" customHeight="false" outlineLevel="0" collapsed="false">
      <c r="A341" s="5" t="s">
        <v>1086</v>
      </c>
      <c r="B341" s="5" t="s">
        <v>1116</v>
      </c>
      <c r="C341" s="5" t="s">
        <v>1117</v>
      </c>
      <c r="D341" s="5" t="s">
        <v>1095</v>
      </c>
      <c r="E341" s="5" t="s">
        <v>60</v>
      </c>
      <c r="F341" s="6" t="n">
        <v>16090.22</v>
      </c>
      <c r="G341" s="7" t="n">
        <v>661</v>
      </c>
      <c r="H341" s="8" t="n">
        <v>-0.1823</v>
      </c>
      <c r="I341" s="8" t="n">
        <v>-0.1738</v>
      </c>
      <c r="J341" s="7" t="n">
        <v>64</v>
      </c>
      <c r="K341" s="5" t="n">
        <v>201</v>
      </c>
      <c r="L341" s="5" t="n">
        <v>3796</v>
      </c>
      <c r="M341" s="5" t="n">
        <v>4.2</v>
      </c>
      <c r="N341" s="13" t="s">
        <v>61</v>
      </c>
      <c r="O341" s="5"/>
      <c r="P341" s="5"/>
      <c r="Q341" s="5"/>
      <c r="R341" s="7"/>
      <c r="S341" s="7"/>
      <c r="T341" s="5"/>
      <c r="U341" s="6"/>
      <c r="V341" s="7"/>
      <c r="W341" s="5"/>
      <c r="X341" s="7"/>
      <c r="Y341" s="7"/>
      <c r="Z341" s="7"/>
      <c r="AA341" s="10"/>
      <c r="AB341" s="11"/>
      <c r="AC341" s="10"/>
      <c r="AD341" s="12"/>
      <c r="AE341" s="12"/>
      <c r="AF341" s="12"/>
      <c r="AG341" s="7"/>
      <c r="AH341" s="7"/>
      <c r="AI341" s="5" t="s">
        <v>1118</v>
      </c>
    </row>
    <row r="342" customFormat="false" ht="15" hidden="false" customHeight="false" outlineLevel="0" collapsed="false">
      <c r="A342" s="5" t="s">
        <v>1086</v>
      </c>
      <c r="B342" s="5" t="s">
        <v>1119</v>
      </c>
      <c r="C342" s="5" t="s">
        <v>1120</v>
      </c>
      <c r="D342" s="5" t="s">
        <v>1086</v>
      </c>
      <c r="E342" s="5" t="s">
        <v>60</v>
      </c>
      <c r="F342" s="6" t="n">
        <v>16010.82</v>
      </c>
      <c r="G342" s="7" t="n">
        <v>496</v>
      </c>
      <c r="H342" s="8" t="n">
        <v>32.6872</v>
      </c>
      <c r="I342" s="8" t="n">
        <v>28.1765</v>
      </c>
      <c r="J342" s="7" t="n">
        <v>120</v>
      </c>
      <c r="K342" s="5" t="n">
        <v>32</v>
      </c>
      <c r="L342" s="5" t="n">
        <v>699</v>
      </c>
      <c r="M342" s="5" t="n">
        <v>4.4</v>
      </c>
      <c r="N342" s="9" t="s">
        <v>54</v>
      </c>
      <c r="O342" s="5"/>
      <c r="P342" s="5" t="s">
        <v>1121</v>
      </c>
      <c r="Q342" s="14" t="s">
        <v>1122</v>
      </c>
      <c r="R342" s="7" t="n">
        <v>15464</v>
      </c>
      <c r="S342" s="7" t="n">
        <v>1021</v>
      </c>
      <c r="T342" s="5" t="s">
        <v>1123</v>
      </c>
      <c r="U342" s="6" t="n">
        <v>132257.11</v>
      </c>
      <c r="V342" s="7" t="n">
        <v>4739</v>
      </c>
      <c r="W342" s="5" t="n">
        <v>777</v>
      </c>
      <c r="X342" s="7" t="n">
        <v>1094</v>
      </c>
      <c r="Y342" s="7" t="n">
        <v>1967</v>
      </c>
      <c r="Z342" s="7" t="n">
        <v>273</v>
      </c>
      <c r="AA342" s="10" t="n">
        <v>11.68</v>
      </c>
      <c r="AB342" s="11" t="n">
        <v>115.34</v>
      </c>
      <c r="AC342" s="10" t="n">
        <v>33</v>
      </c>
      <c r="AD342" s="12" t="n">
        <v>0.61</v>
      </c>
      <c r="AE342" s="12" t="n">
        <v>0.88</v>
      </c>
      <c r="AF342" s="12" t="n">
        <v>1</v>
      </c>
      <c r="AG342" s="7" t="n">
        <v>17</v>
      </c>
      <c r="AH342" s="7" t="n">
        <v>1830</v>
      </c>
      <c r="AI342" s="5" t="s">
        <v>1124</v>
      </c>
    </row>
    <row r="343" customFormat="false" ht="15" hidden="false" customHeight="false" outlineLevel="0" collapsed="false">
      <c r="A343" s="5" t="s">
        <v>1086</v>
      </c>
      <c r="B343" s="5" t="s">
        <v>1125</v>
      </c>
      <c r="C343" s="5" t="s">
        <v>1126</v>
      </c>
      <c r="D343" s="5" t="s">
        <v>1086</v>
      </c>
      <c r="E343" s="5" t="s">
        <v>53</v>
      </c>
      <c r="F343" s="6" t="n">
        <v>14978.37</v>
      </c>
      <c r="G343" s="7" t="n">
        <v>1305</v>
      </c>
      <c r="H343" s="8" t="n">
        <v>0.0833</v>
      </c>
      <c r="I343" s="8" t="n">
        <v>0.1457</v>
      </c>
      <c r="J343" s="7" t="n">
        <v>544</v>
      </c>
      <c r="K343" s="5" t="n">
        <v>53</v>
      </c>
      <c r="L343" s="5" t="n">
        <v>518</v>
      </c>
      <c r="M343" s="5" t="n">
        <v>3.8</v>
      </c>
      <c r="N343" s="9" t="s">
        <v>54</v>
      </c>
      <c r="O343" s="5"/>
      <c r="P343" s="5"/>
      <c r="Q343" s="5"/>
      <c r="R343" s="7"/>
      <c r="S343" s="7"/>
      <c r="T343" s="5"/>
      <c r="U343" s="6"/>
      <c r="V343" s="7"/>
      <c r="W343" s="5"/>
      <c r="X343" s="7"/>
      <c r="Y343" s="7"/>
      <c r="Z343" s="7"/>
      <c r="AA343" s="10"/>
      <c r="AB343" s="11"/>
      <c r="AC343" s="10"/>
      <c r="AD343" s="12"/>
      <c r="AE343" s="12"/>
      <c r="AF343" s="12"/>
      <c r="AG343" s="7"/>
      <c r="AH343" s="7"/>
      <c r="AI343" s="5" t="s">
        <v>1127</v>
      </c>
    </row>
    <row r="344" customFormat="false" ht="15" hidden="false" customHeight="false" outlineLevel="0" collapsed="false">
      <c r="A344" s="5" t="s">
        <v>1086</v>
      </c>
      <c r="B344" s="5" t="s">
        <v>1128</v>
      </c>
      <c r="C344" s="5"/>
      <c r="D344" s="5" t="s">
        <v>1086</v>
      </c>
      <c r="E344" s="5" t="s">
        <v>53</v>
      </c>
      <c r="F344" s="6" t="n">
        <v>14703.59</v>
      </c>
      <c r="G344" s="7" t="n">
        <v>991</v>
      </c>
      <c r="H344" s="8" t="n">
        <v>-0.1559</v>
      </c>
      <c r="I344" s="8" t="n">
        <v>-0.1292</v>
      </c>
      <c r="J344" s="7" t="n">
        <v>94</v>
      </c>
      <c r="K344" s="5" t="n">
        <v>19</v>
      </c>
      <c r="L344" s="5" t="n">
        <v>377</v>
      </c>
      <c r="M344" s="5" t="n">
        <v>4.4</v>
      </c>
      <c r="N344" s="9" t="s">
        <v>54</v>
      </c>
      <c r="O344" s="5"/>
      <c r="P344" s="5"/>
      <c r="Q344" s="5"/>
      <c r="R344" s="7"/>
      <c r="S344" s="7"/>
      <c r="T344" s="5"/>
      <c r="U344" s="6"/>
      <c r="V344" s="7"/>
      <c r="W344" s="5"/>
      <c r="X344" s="7"/>
      <c r="Y344" s="7"/>
      <c r="Z344" s="7"/>
      <c r="AA344" s="10"/>
      <c r="AB344" s="11"/>
      <c r="AC344" s="10"/>
      <c r="AD344" s="12"/>
      <c r="AE344" s="12"/>
      <c r="AF344" s="12"/>
      <c r="AG344" s="7"/>
      <c r="AH344" s="7"/>
      <c r="AI344" s="5" t="s">
        <v>1129</v>
      </c>
    </row>
    <row r="345" customFormat="false" ht="15" hidden="false" customHeight="false" outlineLevel="0" collapsed="false">
      <c r="A345" s="5" t="s">
        <v>1086</v>
      </c>
      <c r="B345" s="5" t="s">
        <v>1130</v>
      </c>
      <c r="C345" s="5" t="s">
        <v>1131</v>
      </c>
      <c r="D345" s="5" t="s">
        <v>1086</v>
      </c>
      <c r="E345" s="5" t="s">
        <v>60</v>
      </c>
      <c r="F345" s="6" t="n">
        <v>14040.02</v>
      </c>
      <c r="G345" s="7" t="n">
        <v>1403</v>
      </c>
      <c r="H345" s="8" t="n">
        <v>0.4552</v>
      </c>
      <c r="I345" s="8" t="n">
        <v>0.5469</v>
      </c>
      <c r="J345" s="7" t="n">
        <v>74</v>
      </c>
      <c r="K345" s="5" t="n">
        <v>49</v>
      </c>
      <c r="L345" s="5" t="n">
        <v>232</v>
      </c>
      <c r="M345" s="5" t="n">
        <v>4.4</v>
      </c>
      <c r="N345" s="9" t="s">
        <v>54</v>
      </c>
      <c r="O345" s="5"/>
      <c r="P345" s="5" t="s">
        <v>1132</v>
      </c>
      <c r="Q345" s="14" t="s">
        <v>1133</v>
      </c>
      <c r="R345" s="7" t="n">
        <v>2067</v>
      </c>
      <c r="S345" s="7" t="n">
        <v>64</v>
      </c>
      <c r="T345" s="5" t="s">
        <v>804</v>
      </c>
      <c r="U345" s="6" t="n">
        <v>553498.47</v>
      </c>
      <c r="V345" s="7" t="n">
        <v>77459</v>
      </c>
      <c r="W345" s="5" t="n">
        <v>323</v>
      </c>
      <c r="X345" s="7" t="n">
        <v>734</v>
      </c>
      <c r="Y345" s="7" t="n">
        <v>1129</v>
      </c>
      <c r="Z345" s="7" t="n">
        <v>529</v>
      </c>
      <c r="AA345" s="10" t="n">
        <v>1.17</v>
      </c>
      <c r="AB345" s="11" t="n">
        <v>20.75</v>
      </c>
      <c r="AC345" s="10" t="n">
        <v>9.35</v>
      </c>
      <c r="AD345" s="12" t="n">
        <v>0.84</v>
      </c>
      <c r="AE345" s="12" t="n">
        <v>0.92</v>
      </c>
      <c r="AF345" s="12" t="n">
        <v>0.86</v>
      </c>
      <c r="AG345" s="7" t="n">
        <v>18</v>
      </c>
      <c r="AH345" s="7" t="n">
        <v>1879</v>
      </c>
      <c r="AI345" s="5" t="s">
        <v>1134</v>
      </c>
    </row>
    <row r="346" customFormat="false" ht="15" hidden="false" customHeight="false" outlineLevel="0" collapsed="false">
      <c r="A346" s="5" t="s">
        <v>1086</v>
      </c>
      <c r="B346" s="5" t="s">
        <v>1135</v>
      </c>
      <c r="C346" s="5" t="s">
        <v>1136</v>
      </c>
      <c r="D346" s="5" t="s">
        <v>1086</v>
      </c>
      <c r="E346" s="5" t="s">
        <v>53</v>
      </c>
      <c r="F346" s="6" t="n">
        <v>13568.37</v>
      </c>
      <c r="G346" s="7" t="n">
        <v>2234</v>
      </c>
      <c r="H346" s="8" t="n">
        <v>4.4251</v>
      </c>
      <c r="I346" s="8" t="n">
        <v>5.1543</v>
      </c>
      <c r="J346" s="7" t="n">
        <v>101</v>
      </c>
      <c r="K346" s="5" t="n">
        <v>7</v>
      </c>
      <c r="L346" s="5" t="n">
        <v>111</v>
      </c>
      <c r="M346" s="5" t="n">
        <v>4.9</v>
      </c>
      <c r="N346" s="9" t="s">
        <v>54</v>
      </c>
      <c r="O346" s="5"/>
      <c r="P346" s="5"/>
      <c r="Q346" s="5"/>
      <c r="R346" s="7"/>
      <c r="S346" s="7"/>
      <c r="T346" s="5"/>
      <c r="U346" s="6"/>
      <c r="V346" s="7"/>
      <c r="W346" s="5"/>
      <c r="X346" s="7"/>
      <c r="Y346" s="7"/>
      <c r="Z346" s="7"/>
      <c r="AA346" s="10"/>
      <c r="AB346" s="11"/>
      <c r="AC346" s="10"/>
      <c r="AD346" s="12"/>
      <c r="AE346" s="12"/>
      <c r="AF346" s="12"/>
      <c r="AG346" s="7"/>
      <c r="AH346" s="7"/>
      <c r="AI346" s="5" t="s">
        <v>1137</v>
      </c>
    </row>
    <row r="347" customFormat="false" ht="15" hidden="false" customHeight="false" outlineLevel="0" collapsed="false">
      <c r="A347" s="5" t="s">
        <v>1086</v>
      </c>
      <c r="B347" s="5" t="s">
        <v>1138</v>
      </c>
      <c r="C347" s="5" t="s">
        <v>1139</v>
      </c>
      <c r="D347" s="5" t="s">
        <v>140</v>
      </c>
      <c r="E347" s="5" t="s">
        <v>60</v>
      </c>
      <c r="F347" s="6" t="n">
        <v>13416.44</v>
      </c>
      <c r="G347" s="7" t="n">
        <v>341</v>
      </c>
      <c r="H347" s="8" t="n">
        <v>0.4402</v>
      </c>
      <c r="I347" s="8" t="n">
        <v>0.776</v>
      </c>
      <c r="J347" s="7" t="n">
        <v>404</v>
      </c>
      <c r="K347" s="5" t="n">
        <v>9</v>
      </c>
      <c r="L347" s="5" t="n">
        <v>160</v>
      </c>
      <c r="M347" s="5" t="n">
        <v>4.9</v>
      </c>
      <c r="N347" s="15" t="s">
        <v>151</v>
      </c>
      <c r="O347" s="5" t="s">
        <v>1140</v>
      </c>
      <c r="P347" s="5"/>
      <c r="Q347" s="5"/>
      <c r="R347" s="7"/>
      <c r="S347" s="7"/>
      <c r="T347" s="5"/>
      <c r="U347" s="6"/>
      <c r="V347" s="7"/>
      <c r="W347" s="5"/>
      <c r="X347" s="7"/>
      <c r="Y347" s="7"/>
      <c r="Z347" s="7"/>
      <c r="AA347" s="10"/>
      <c r="AB347" s="11"/>
      <c r="AC347" s="10"/>
      <c r="AD347" s="12"/>
      <c r="AE347" s="12"/>
      <c r="AF347" s="12"/>
      <c r="AG347" s="7"/>
      <c r="AH347" s="7"/>
      <c r="AI347" s="5" t="s">
        <v>1141</v>
      </c>
    </row>
    <row r="348" customFormat="false" ht="15" hidden="false" customHeight="false" outlineLevel="0" collapsed="false">
      <c r="A348" s="5" t="s">
        <v>1086</v>
      </c>
      <c r="B348" s="5" t="s">
        <v>1142</v>
      </c>
      <c r="C348" s="5"/>
      <c r="D348" s="5" t="s">
        <v>1086</v>
      </c>
      <c r="E348" s="5" t="s">
        <v>53</v>
      </c>
      <c r="F348" s="6" t="n">
        <v>13253.91</v>
      </c>
      <c r="G348" s="7" t="n">
        <v>1371</v>
      </c>
      <c r="H348" s="8" t="n">
        <v>6.5923</v>
      </c>
      <c r="I348" s="8" t="n">
        <v>5.9242</v>
      </c>
      <c r="J348" s="7" t="n">
        <v>41</v>
      </c>
      <c r="K348" s="5" t="n">
        <v>33</v>
      </c>
      <c r="L348" s="5" t="n">
        <v>222</v>
      </c>
      <c r="M348" s="5" t="n">
        <v>4.6</v>
      </c>
      <c r="N348" s="9" t="s">
        <v>54</v>
      </c>
      <c r="O348" s="5"/>
      <c r="P348" s="5"/>
      <c r="Q348" s="5"/>
      <c r="R348" s="7"/>
      <c r="S348" s="7"/>
      <c r="T348" s="5"/>
      <c r="U348" s="6"/>
      <c r="V348" s="7"/>
      <c r="W348" s="5"/>
      <c r="X348" s="7"/>
      <c r="Y348" s="7"/>
      <c r="Z348" s="7"/>
      <c r="AA348" s="10"/>
      <c r="AB348" s="11"/>
      <c r="AC348" s="10"/>
      <c r="AD348" s="12"/>
      <c r="AE348" s="12"/>
      <c r="AF348" s="12"/>
      <c r="AG348" s="7"/>
      <c r="AH348" s="7"/>
      <c r="AI348" s="5" t="s">
        <v>1143</v>
      </c>
    </row>
    <row r="349" customFormat="false" ht="15" hidden="false" customHeight="false" outlineLevel="0" collapsed="false">
      <c r="A349" s="5" t="s">
        <v>1086</v>
      </c>
      <c r="B349" s="5" t="s">
        <v>1144</v>
      </c>
      <c r="C349" s="5"/>
      <c r="D349" s="5" t="s">
        <v>1086</v>
      </c>
      <c r="E349" s="5" t="s">
        <v>53</v>
      </c>
      <c r="F349" s="6" t="n">
        <v>12995.42</v>
      </c>
      <c r="G349" s="7" t="n">
        <v>1526</v>
      </c>
      <c r="H349" s="8" t="n">
        <v>6.4691</v>
      </c>
      <c r="I349" s="8" t="n">
        <v>5.7522</v>
      </c>
      <c r="J349" s="7" t="n">
        <v>74</v>
      </c>
      <c r="K349" s="5" t="n">
        <v>40</v>
      </c>
      <c r="L349" s="5" t="n">
        <v>368</v>
      </c>
      <c r="M349" s="5" t="n">
        <v>3.4</v>
      </c>
      <c r="N349" s="9" t="s">
        <v>54</v>
      </c>
      <c r="O349" s="5"/>
      <c r="P349" s="5"/>
      <c r="Q349" s="5"/>
      <c r="R349" s="7"/>
      <c r="S349" s="7"/>
      <c r="T349" s="5"/>
      <c r="U349" s="6"/>
      <c r="V349" s="7"/>
      <c r="W349" s="5"/>
      <c r="X349" s="7"/>
      <c r="Y349" s="7"/>
      <c r="Z349" s="7"/>
      <c r="AA349" s="10"/>
      <c r="AB349" s="11"/>
      <c r="AC349" s="10"/>
      <c r="AD349" s="12"/>
      <c r="AE349" s="12"/>
      <c r="AF349" s="12"/>
      <c r="AG349" s="7"/>
      <c r="AH349" s="7"/>
      <c r="AI349" s="5" t="s">
        <v>1145</v>
      </c>
    </row>
    <row r="350" customFormat="false" ht="15" hidden="false" customHeight="false" outlineLevel="0" collapsed="false">
      <c r="A350" s="5" t="s">
        <v>1086</v>
      </c>
      <c r="B350" s="5" t="s">
        <v>1146</v>
      </c>
      <c r="C350" s="5" t="s">
        <v>1147</v>
      </c>
      <c r="D350" s="5" t="s">
        <v>138</v>
      </c>
      <c r="E350" s="5" t="s">
        <v>60</v>
      </c>
      <c r="F350" s="6" t="n">
        <v>12952.78</v>
      </c>
      <c r="G350" s="7" t="n">
        <v>351</v>
      </c>
      <c r="H350" s="8" t="n">
        <v>0</v>
      </c>
      <c r="I350" s="8" t="n">
        <v>0</v>
      </c>
      <c r="J350" s="7" t="n">
        <v>61</v>
      </c>
      <c r="K350" s="5" t="n">
        <v>2</v>
      </c>
      <c r="L350" s="5" t="n">
        <v>43</v>
      </c>
      <c r="M350" s="5" t="n">
        <v>3.2</v>
      </c>
      <c r="N350" s="13" t="s">
        <v>61</v>
      </c>
      <c r="O350" s="5"/>
      <c r="P350" s="5"/>
      <c r="Q350" s="5"/>
      <c r="R350" s="7"/>
      <c r="S350" s="7"/>
      <c r="T350" s="5"/>
      <c r="U350" s="6"/>
      <c r="V350" s="7"/>
      <c r="W350" s="5"/>
      <c r="X350" s="7"/>
      <c r="Y350" s="7"/>
      <c r="Z350" s="7"/>
      <c r="AA350" s="10"/>
      <c r="AB350" s="11"/>
      <c r="AC350" s="10"/>
      <c r="AD350" s="12"/>
      <c r="AE350" s="12"/>
      <c r="AF350" s="12"/>
      <c r="AG350" s="7"/>
      <c r="AH350" s="7"/>
      <c r="AI350" s="5" t="s">
        <v>1148</v>
      </c>
    </row>
    <row r="351" customFormat="false" ht="15" hidden="false" customHeight="false" outlineLevel="0" collapsed="false">
      <c r="A351" s="5" t="s">
        <v>1086</v>
      </c>
      <c r="B351" s="5" t="s">
        <v>1149</v>
      </c>
      <c r="C351" s="5" t="s">
        <v>1150</v>
      </c>
      <c r="D351" s="5" t="s">
        <v>140</v>
      </c>
      <c r="E351" s="5" t="s">
        <v>60</v>
      </c>
      <c r="F351" s="6" t="n">
        <v>12425.57</v>
      </c>
      <c r="G351" s="7" t="n">
        <v>625</v>
      </c>
      <c r="H351" s="8" t="n">
        <v>-0.4742</v>
      </c>
      <c r="I351" s="8" t="n">
        <v>-0.3421</v>
      </c>
      <c r="J351" s="7" t="n">
        <v>96</v>
      </c>
      <c r="K351" s="5" t="n">
        <v>50</v>
      </c>
      <c r="L351" s="5" t="n">
        <v>788</v>
      </c>
      <c r="M351" s="5" t="n">
        <v>4.2</v>
      </c>
      <c r="N351" s="15" t="s">
        <v>151</v>
      </c>
      <c r="O351" s="5" t="s">
        <v>1151</v>
      </c>
      <c r="P351" s="5"/>
      <c r="Q351" s="5"/>
      <c r="R351" s="7"/>
      <c r="S351" s="7"/>
      <c r="T351" s="5"/>
      <c r="U351" s="6"/>
      <c r="V351" s="7"/>
      <c r="W351" s="5"/>
      <c r="X351" s="7"/>
      <c r="Y351" s="7"/>
      <c r="Z351" s="7"/>
      <c r="AA351" s="10"/>
      <c r="AB351" s="11"/>
      <c r="AC351" s="10"/>
      <c r="AD351" s="12"/>
      <c r="AE351" s="12"/>
      <c r="AF351" s="12"/>
      <c r="AG351" s="7"/>
      <c r="AH351" s="7"/>
      <c r="AI351" s="5" t="s">
        <v>1152</v>
      </c>
    </row>
    <row r="352" customFormat="false" ht="15" hidden="false" customHeight="false" outlineLevel="0" collapsed="false">
      <c r="A352" s="5" t="s">
        <v>1086</v>
      </c>
      <c r="B352" s="5" t="s">
        <v>1153</v>
      </c>
      <c r="C352" s="5" t="s">
        <v>1154</v>
      </c>
      <c r="D352" s="5" t="s">
        <v>1086</v>
      </c>
      <c r="E352" s="5" t="s">
        <v>60</v>
      </c>
      <c r="F352" s="6" t="n">
        <v>12344.7</v>
      </c>
      <c r="G352" s="7" t="n">
        <v>436</v>
      </c>
      <c r="H352" s="8" t="n">
        <v>-0.5676</v>
      </c>
      <c r="I352" s="8" t="n">
        <v>-0.7658</v>
      </c>
      <c r="J352" s="7" t="n">
        <v>1295</v>
      </c>
      <c r="K352" s="5" t="n">
        <v>65</v>
      </c>
      <c r="L352" s="5" t="n">
        <v>98</v>
      </c>
      <c r="M352" s="5" t="n">
        <v>4.7</v>
      </c>
      <c r="N352" s="9" t="s">
        <v>54</v>
      </c>
      <c r="O352" s="5"/>
      <c r="P352" s="5" t="s">
        <v>1155</v>
      </c>
      <c r="Q352" s="14" t="s">
        <v>1156</v>
      </c>
      <c r="R352" s="7" t="n">
        <v>144043</v>
      </c>
      <c r="S352" s="7" t="n">
        <v>2477</v>
      </c>
      <c r="T352" s="5" t="s">
        <v>307</v>
      </c>
      <c r="U352" s="6" t="n">
        <v>2661470.46</v>
      </c>
      <c r="V352" s="7" t="n">
        <v>264882</v>
      </c>
      <c r="W352" s="5" t="n">
        <v>1378</v>
      </c>
      <c r="X352" s="7" t="n">
        <v>3717</v>
      </c>
      <c r="Y352" s="7" t="n">
        <v>3519</v>
      </c>
      <c r="Z352" s="7" t="n">
        <v>1438</v>
      </c>
      <c r="AA352" s="10" t="n">
        <v>1</v>
      </c>
      <c r="AB352" s="11" t="n">
        <v>65</v>
      </c>
      <c r="AC352" s="10" t="n">
        <v>12.02</v>
      </c>
      <c r="AD352" s="12" t="n">
        <v>0.75</v>
      </c>
      <c r="AE352" s="12" t="n">
        <v>0.97</v>
      </c>
      <c r="AF352" s="12" t="n">
        <v>0.92</v>
      </c>
      <c r="AG352" s="7" t="n">
        <v>21</v>
      </c>
      <c r="AH352" s="7" t="n">
        <v>2555</v>
      </c>
      <c r="AI352" s="5" t="s">
        <v>1157</v>
      </c>
    </row>
    <row r="353" customFormat="false" ht="15" hidden="false" customHeight="false" outlineLevel="0" collapsed="false">
      <c r="A353" s="5" t="s">
        <v>1086</v>
      </c>
      <c r="B353" s="5" t="s">
        <v>1158</v>
      </c>
      <c r="C353" s="5" t="s">
        <v>1159</v>
      </c>
      <c r="D353" s="5" t="s">
        <v>1095</v>
      </c>
      <c r="E353" s="5" t="s">
        <v>60</v>
      </c>
      <c r="F353" s="6" t="n">
        <v>11743.02</v>
      </c>
      <c r="G353" s="7" t="n">
        <v>802</v>
      </c>
      <c r="H353" s="8" t="n">
        <v>-0.6008</v>
      </c>
      <c r="I353" s="8" t="n">
        <v>-0.6237</v>
      </c>
      <c r="J353" s="7" t="n">
        <v>117</v>
      </c>
      <c r="K353" s="5" t="n">
        <v>27</v>
      </c>
      <c r="L353" s="5" t="n">
        <v>370</v>
      </c>
      <c r="M353" s="5" t="n">
        <v>4.6</v>
      </c>
      <c r="N353" s="13" t="s">
        <v>61</v>
      </c>
      <c r="O353" s="5"/>
      <c r="P353" s="5"/>
      <c r="Q353" s="5"/>
      <c r="R353" s="7"/>
      <c r="S353" s="7"/>
      <c r="T353" s="5"/>
      <c r="U353" s="6"/>
      <c r="V353" s="7"/>
      <c r="W353" s="5"/>
      <c r="X353" s="7"/>
      <c r="Y353" s="7"/>
      <c r="Z353" s="7"/>
      <c r="AA353" s="10"/>
      <c r="AB353" s="11"/>
      <c r="AC353" s="10"/>
      <c r="AD353" s="12"/>
      <c r="AE353" s="12"/>
      <c r="AF353" s="12"/>
      <c r="AG353" s="7"/>
      <c r="AH353" s="7"/>
      <c r="AI353" s="5" t="s">
        <v>1160</v>
      </c>
    </row>
    <row r="354" customFormat="false" ht="15" hidden="false" customHeight="false" outlineLevel="0" collapsed="false">
      <c r="A354" s="5" t="s">
        <v>1086</v>
      </c>
      <c r="B354" s="5" t="s">
        <v>1161</v>
      </c>
      <c r="C354" s="5" t="s">
        <v>1161</v>
      </c>
      <c r="D354" s="5" t="s">
        <v>1086</v>
      </c>
      <c r="E354" s="5" t="s">
        <v>60</v>
      </c>
      <c r="F354" s="6" t="n">
        <v>11151.38</v>
      </c>
      <c r="G354" s="7" t="n">
        <v>1365</v>
      </c>
      <c r="H354" s="8" t="n">
        <v>0.6345</v>
      </c>
      <c r="I354" s="8" t="n">
        <v>0.463</v>
      </c>
      <c r="J354" s="7" t="n">
        <v>438</v>
      </c>
      <c r="K354" s="5" t="n">
        <v>30</v>
      </c>
      <c r="L354" s="5" t="n">
        <v>1143</v>
      </c>
      <c r="M354" s="5" t="n">
        <v>4.6</v>
      </c>
      <c r="N354" s="9" t="s">
        <v>54</v>
      </c>
      <c r="O354" s="5"/>
      <c r="P354" s="5" t="s">
        <v>1162</v>
      </c>
      <c r="Q354" s="14" t="s">
        <v>1163</v>
      </c>
      <c r="R354" s="7" t="n">
        <v>35195</v>
      </c>
      <c r="S354" s="7" t="n">
        <v>583</v>
      </c>
      <c r="T354" s="5" t="s">
        <v>1164</v>
      </c>
      <c r="U354" s="6" t="n">
        <v>771547.62</v>
      </c>
      <c r="V354" s="7" t="n">
        <v>70878</v>
      </c>
      <c r="W354" s="5" t="n">
        <v>2931</v>
      </c>
      <c r="X354" s="7" t="n">
        <v>492</v>
      </c>
      <c r="Y354" s="7" t="n">
        <v>865</v>
      </c>
      <c r="Z354" s="7" t="n">
        <v>576</v>
      </c>
      <c r="AA354" s="10" t="n">
        <v>0.59</v>
      </c>
      <c r="AB354" s="11" t="n">
        <v>76</v>
      </c>
      <c r="AC354" s="10" t="n">
        <v>9.32</v>
      </c>
      <c r="AD354" s="12" t="n">
        <v>0.75</v>
      </c>
      <c r="AE354" s="12" t="n">
        <v>1</v>
      </c>
      <c r="AF354" s="12" t="n">
        <v>0.92</v>
      </c>
      <c r="AG354" s="7" t="n">
        <v>29</v>
      </c>
      <c r="AH354" s="7" t="n">
        <v>3176</v>
      </c>
      <c r="AI354" s="5" t="s">
        <v>1165</v>
      </c>
    </row>
    <row r="355" customFormat="false" ht="15" hidden="false" customHeight="false" outlineLevel="0" collapsed="false">
      <c r="A355" s="5" t="s">
        <v>1086</v>
      </c>
      <c r="B355" s="5" t="s">
        <v>1166</v>
      </c>
      <c r="C355" s="5" t="s">
        <v>1167</v>
      </c>
      <c r="D355" s="5" t="s">
        <v>1086</v>
      </c>
      <c r="E355" s="5" t="s">
        <v>53</v>
      </c>
      <c r="F355" s="6" t="n">
        <v>11149.71</v>
      </c>
      <c r="G355" s="7" t="n">
        <v>704</v>
      </c>
      <c r="H355" s="8" t="n">
        <v>-0.0626</v>
      </c>
      <c r="I355" s="8" t="n">
        <v>-0.1089</v>
      </c>
      <c r="J355" s="7" t="n">
        <v>54</v>
      </c>
      <c r="K355" s="5" t="n">
        <v>62</v>
      </c>
      <c r="L355" s="5" t="n">
        <v>1971</v>
      </c>
      <c r="M355" s="5" t="n">
        <v>4.8</v>
      </c>
      <c r="N355" s="9" t="s">
        <v>54</v>
      </c>
      <c r="O355" s="5"/>
      <c r="P355" s="5"/>
      <c r="Q355" s="5"/>
      <c r="R355" s="7"/>
      <c r="S355" s="7"/>
      <c r="T355" s="5"/>
      <c r="U355" s="6"/>
      <c r="V355" s="7"/>
      <c r="W355" s="5"/>
      <c r="X355" s="7"/>
      <c r="Y355" s="7"/>
      <c r="Z355" s="7"/>
      <c r="AA355" s="10"/>
      <c r="AB355" s="11"/>
      <c r="AC355" s="10"/>
      <c r="AD355" s="12"/>
      <c r="AE355" s="12"/>
      <c r="AF355" s="12"/>
      <c r="AG355" s="7"/>
      <c r="AH355" s="7"/>
      <c r="AI355" s="5" t="s">
        <v>1168</v>
      </c>
    </row>
    <row r="356" customFormat="false" ht="15" hidden="false" customHeight="false" outlineLevel="0" collapsed="false">
      <c r="A356" s="5" t="s">
        <v>1086</v>
      </c>
      <c r="B356" s="5" t="s">
        <v>1169</v>
      </c>
      <c r="C356" s="5" t="s">
        <v>1170</v>
      </c>
      <c r="D356" s="5" t="s">
        <v>1086</v>
      </c>
      <c r="E356" s="5" t="s">
        <v>53</v>
      </c>
      <c r="F356" s="6" t="n">
        <v>10498.06</v>
      </c>
      <c r="G356" s="7" t="n">
        <v>1270</v>
      </c>
      <c r="H356" s="8" t="n">
        <v>0.1989</v>
      </c>
      <c r="I356" s="8" t="n">
        <v>0.0663</v>
      </c>
      <c r="J356" s="7" t="n">
        <v>76</v>
      </c>
      <c r="K356" s="5" t="n">
        <v>71</v>
      </c>
      <c r="L356" s="5" t="n">
        <v>91</v>
      </c>
      <c r="M356" s="5" t="n">
        <v>4.9</v>
      </c>
      <c r="N356" s="9" t="s">
        <v>54</v>
      </c>
      <c r="O356" s="5"/>
      <c r="P356" s="5"/>
      <c r="Q356" s="5"/>
      <c r="R356" s="7"/>
      <c r="S356" s="7"/>
      <c r="T356" s="5"/>
      <c r="U356" s="6"/>
      <c r="V356" s="7"/>
      <c r="W356" s="5"/>
      <c r="X356" s="7"/>
      <c r="Y356" s="7"/>
      <c r="Z356" s="7"/>
      <c r="AA356" s="10"/>
      <c r="AB356" s="11"/>
      <c r="AC356" s="10"/>
      <c r="AD356" s="12"/>
      <c r="AE356" s="12"/>
      <c r="AF356" s="12"/>
      <c r="AG356" s="7"/>
      <c r="AH356" s="7"/>
      <c r="AI356" s="5" t="s">
        <v>1171</v>
      </c>
    </row>
    <row r="357" customFormat="false" ht="15" hidden="false" customHeight="false" outlineLevel="0" collapsed="false">
      <c r="A357" s="5" t="s">
        <v>291</v>
      </c>
      <c r="B357" s="5" t="s">
        <v>1172</v>
      </c>
      <c r="C357" s="5" t="s">
        <v>1173</v>
      </c>
      <c r="D357" s="5" t="s">
        <v>291</v>
      </c>
      <c r="E357" s="5" t="s">
        <v>53</v>
      </c>
      <c r="F357" s="6" t="n">
        <v>25279.51</v>
      </c>
      <c r="G357" s="7" t="n">
        <v>1056</v>
      </c>
      <c r="H357" s="8" t="n">
        <v>-0.1075</v>
      </c>
      <c r="I357" s="8" t="n">
        <v>-0.2166</v>
      </c>
      <c r="J357" s="7" t="n">
        <v>796</v>
      </c>
      <c r="K357" s="5" t="n">
        <v>79</v>
      </c>
      <c r="L357" s="5" t="n">
        <v>488</v>
      </c>
      <c r="M357" s="5" t="n">
        <v>4.1</v>
      </c>
      <c r="N357" s="9" t="s">
        <v>54</v>
      </c>
      <c r="O357" s="5"/>
      <c r="P357" s="5"/>
      <c r="Q357" s="5"/>
      <c r="R357" s="7"/>
      <c r="S357" s="7"/>
      <c r="T357" s="5"/>
      <c r="U357" s="6"/>
      <c r="V357" s="7"/>
      <c r="W357" s="5"/>
      <c r="X357" s="7"/>
      <c r="Y357" s="7"/>
      <c r="Z357" s="7"/>
      <c r="AA357" s="10"/>
      <c r="AB357" s="11"/>
      <c r="AC357" s="10"/>
      <c r="AD357" s="12"/>
      <c r="AE357" s="12"/>
      <c r="AF357" s="12"/>
      <c r="AG357" s="7"/>
      <c r="AH357" s="7"/>
      <c r="AI357" s="5" t="s">
        <v>1174</v>
      </c>
    </row>
    <row r="358" customFormat="false" ht="15" hidden="false" customHeight="false" outlineLevel="0" collapsed="false">
      <c r="A358" s="5" t="s">
        <v>291</v>
      </c>
      <c r="B358" s="5" t="s">
        <v>1175</v>
      </c>
      <c r="C358" s="5" t="s">
        <v>1176</v>
      </c>
      <c r="D358" s="5" t="s">
        <v>59</v>
      </c>
      <c r="E358" s="5" t="s">
        <v>60</v>
      </c>
      <c r="F358" s="6" t="n">
        <v>25218.43</v>
      </c>
      <c r="G358" s="7" t="n">
        <v>1724</v>
      </c>
      <c r="H358" s="8" t="n">
        <v>0.6894</v>
      </c>
      <c r="I358" s="8" t="n">
        <v>0.4573</v>
      </c>
      <c r="J358" s="7" t="n">
        <v>439</v>
      </c>
      <c r="K358" s="5" t="n">
        <v>12</v>
      </c>
      <c r="L358" s="5" t="n">
        <v>237</v>
      </c>
      <c r="M358" s="5" t="n">
        <v>4.1</v>
      </c>
      <c r="N358" s="15" t="s">
        <v>151</v>
      </c>
      <c r="O358" s="5" t="s">
        <v>1177</v>
      </c>
      <c r="P358" s="5"/>
      <c r="Q358" s="5"/>
      <c r="R358" s="7"/>
      <c r="S358" s="7"/>
      <c r="T358" s="5"/>
      <c r="U358" s="6"/>
      <c r="V358" s="7"/>
      <c r="W358" s="5"/>
      <c r="X358" s="7"/>
      <c r="Y358" s="7"/>
      <c r="Z358" s="7"/>
      <c r="AA358" s="10"/>
      <c r="AB358" s="11"/>
      <c r="AC358" s="10"/>
      <c r="AD358" s="12"/>
      <c r="AE358" s="12"/>
      <c r="AF358" s="12"/>
      <c r="AG358" s="7"/>
      <c r="AH358" s="7"/>
      <c r="AI358" s="5" t="s">
        <v>1178</v>
      </c>
    </row>
    <row r="359" customFormat="false" ht="15" hidden="false" customHeight="false" outlineLevel="0" collapsed="false">
      <c r="A359" s="5" t="s">
        <v>291</v>
      </c>
      <c r="B359" s="5" t="s">
        <v>1179</v>
      </c>
      <c r="C359" s="5" t="s">
        <v>1180</v>
      </c>
      <c r="D359" s="5" t="s">
        <v>59</v>
      </c>
      <c r="E359" s="5" t="s">
        <v>60</v>
      </c>
      <c r="F359" s="6" t="n">
        <v>22788.12</v>
      </c>
      <c r="G359" s="7" t="n">
        <v>762</v>
      </c>
      <c r="H359" s="8" t="n">
        <v>-0.1436</v>
      </c>
      <c r="I359" s="8" t="n">
        <v>-0.0243</v>
      </c>
      <c r="J359" s="7" t="n">
        <v>80</v>
      </c>
      <c r="K359" s="5" t="n">
        <v>53</v>
      </c>
      <c r="L359" s="5" t="n">
        <v>728</v>
      </c>
      <c r="M359" s="5" t="n">
        <v>4.2</v>
      </c>
      <c r="N359" s="13" t="s">
        <v>61</v>
      </c>
      <c r="O359" s="5"/>
      <c r="P359" s="5"/>
      <c r="Q359" s="5"/>
      <c r="R359" s="7"/>
      <c r="S359" s="7"/>
      <c r="T359" s="5"/>
      <c r="U359" s="6"/>
      <c r="V359" s="7"/>
      <c r="W359" s="5"/>
      <c r="X359" s="7"/>
      <c r="Y359" s="7"/>
      <c r="Z359" s="7"/>
      <c r="AA359" s="10"/>
      <c r="AB359" s="11"/>
      <c r="AC359" s="10"/>
      <c r="AD359" s="12"/>
      <c r="AE359" s="12"/>
      <c r="AF359" s="12"/>
      <c r="AG359" s="7"/>
      <c r="AH359" s="7"/>
      <c r="AI359" s="5" t="s">
        <v>1181</v>
      </c>
    </row>
    <row r="360" customFormat="false" ht="15" hidden="false" customHeight="false" outlineLevel="0" collapsed="false">
      <c r="A360" s="5" t="s">
        <v>291</v>
      </c>
      <c r="B360" s="5" t="s">
        <v>1182</v>
      </c>
      <c r="C360" s="5"/>
      <c r="D360" s="5" t="s">
        <v>291</v>
      </c>
      <c r="E360" s="5" t="s">
        <v>60</v>
      </c>
      <c r="F360" s="6" t="n">
        <v>22704</v>
      </c>
      <c r="G360" s="7" t="n">
        <v>2941</v>
      </c>
      <c r="H360" s="8" t="n">
        <v>0</v>
      </c>
      <c r="I360" s="8" t="n">
        <v>0</v>
      </c>
      <c r="J360" s="7" t="n">
        <v>31</v>
      </c>
      <c r="K360" s="5" t="n">
        <v>7</v>
      </c>
      <c r="L360" s="5" t="n">
        <v>352</v>
      </c>
      <c r="M360" s="5" t="n">
        <v>3.2</v>
      </c>
      <c r="N360" s="9" t="s">
        <v>54</v>
      </c>
      <c r="O360" s="5" t="s">
        <v>258</v>
      </c>
      <c r="P360" s="5"/>
      <c r="Q360" s="5"/>
      <c r="R360" s="7"/>
      <c r="S360" s="7"/>
      <c r="T360" s="5" t="s">
        <v>1183</v>
      </c>
      <c r="U360" s="6" t="n">
        <v>24181.2</v>
      </c>
      <c r="V360" s="7" t="n">
        <v>3681</v>
      </c>
      <c r="W360" s="5" t="n">
        <v>99</v>
      </c>
      <c r="X360" s="7" t="n">
        <v>68</v>
      </c>
      <c r="Y360" s="7" t="n">
        <v>170</v>
      </c>
      <c r="Z360" s="7" t="n">
        <v>40</v>
      </c>
      <c r="AA360" s="10" t="n">
        <v>4.99</v>
      </c>
      <c r="AB360" s="11" t="n">
        <v>25.89</v>
      </c>
      <c r="AC360" s="10"/>
      <c r="AD360" s="12"/>
      <c r="AE360" s="12"/>
      <c r="AF360" s="12"/>
      <c r="AG360" s="7" t="n">
        <v>39</v>
      </c>
      <c r="AH360" s="7" t="n">
        <v>1870</v>
      </c>
      <c r="AI360" s="5" t="s">
        <v>1184</v>
      </c>
    </row>
    <row r="361" customFormat="false" ht="15" hidden="false" customHeight="false" outlineLevel="0" collapsed="false">
      <c r="A361" s="5" t="s">
        <v>291</v>
      </c>
      <c r="B361" s="5" t="s">
        <v>1185</v>
      </c>
      <c r="C361" s="5" t="s">
        <v>1186</v>
      </c>
      <c r="D361" s="5" t="s">
        <v>291</v>
      </c>
      <c r="E361" s="5" t="s">
        <v>60</v>
      </c>
      <c r="F361" s="6" t="n">
        <v>22374.68</v>
      </c>
      <c r="G361" s="7" t="n">
        <v>309</v>
      </c>
      <c r="H361" s="8" t="n">
        <v>-0.2961</v>
      </c>
      <c r="I361" s="8" t="n">
        <v>-0.4309</v>
      </c>
      <c r="J361" s="7" t="n">
        <v>157</v>
      </c>
      <c r="K361" s="5" t="n">
        <v>5</v>
      </c>
      <c r="L361" s="5" t="n">
        <v>10</v>
      </c>
      <c r="M361" s="5" t="n">
        <v>4.1</v>
      </c>
      <c r="N361" s="9" t="s">
        <v>54</v>
      </c>
      <c r="O361" s="5"/>
      <c r="P361" s="5" t="s">
        <v>1187</v>
      </c>
      <c r="Q361" s="14" t="s">
        <v>1188</v>
      </c>
      <c r="R361" s="7" t="n">
        <v>11061</v>
      </c>
      <c r="S361" s="7" t="n">
        <v>59</v>
      </c>
      <c r="T361" s="5" t="s">
        <v>1189</v>
      </c>
      <c r="U361" s="6" t="n">
        <v>442208.88</v>
      </c>
      <c r="V361" s="7" t="n">
        <v>14273</v>
      </c>
      <c r="W361" s="5" t="n">
        <v>377</v>
      </c>
      <c r="X361" s="7" t="n">
        <v>819</v>
      </c>
      <c r="Y361" s="7" t="n">
        <v>2456</v>
      </c>
      <c r="Z361" s="7" t="n">
        <v>2326</v>
      </c>
      <c r="AA361" s="10" t="n">
        <v>1</v>
      </c>
      <c r="AB361" s="11" t="n">
        <v>104.09</v>
      </c>
      <c r="AC361" s="10" t="n">
        <v>32.47</v>
      </c>
      <c r="AD361" s="12" t="n">
        <v>0.62</v>
      </c>
      <c r="AE361" s="12" t="n">
        <v>0.89</v>
      </c>
      <c r="AF361" s="12" t="n">
        <v>0.95</v>
      </c>
      <c r="AG361" s="7" t="n">
        <v>40</v>
      </c>
      <c r="AH361" s="7" t="n">
        <v>1886</v>
      </c>
      <c r="AI361" s="5" t="s">
        <v>1190</v>
      </c>
    </row>
    <row r="362" customFormat="false" ht="15" hidden="false" customHeight="false" outlineLevel="0" collapsed="false">
      <c r="A362" s="5" t="s">
        <v>291</v>
      </c>
      <c r="B362" s="5" t="s">
        <v>1191</v>
      </c>
      <c r="C362" s="5" t="s">
        <v>1192</v>
      </c>
      <c r="D362" s="5" t="s">
        <v>59</v>
      </c>
      <c r="E362" s="5" t="s">
        <v>60</v>
      </c>
      <c r="F362" s="6" t="n">
        <v>21942.83</v>
      </c>
      <c r="G362" s="7" t="n">
        <v>841</v>
      </c>
      <c r="H362" s="8" t="n">
        <v>-0.0444</v>
      </c>
      <c r="I362" s="8" t="n">
        <v>-0.1657</v>
      </c>
      <c r="J362" s="7" t="n">
        <v>139</v>
      </c>
      <c r="K362" s="5" t="n">
        <v>15</v>
      </c>
      <c r="L362" s="5" t="n">
        <v>593</v>
      </c>
      <c r="M362" s="5" t="n">
        <v>4.3</v>
      </c>
      <c r="N362" s="15" t="s">
        <v>151</v>
      </c>
      <c r="O362" s="5" t="s">
        <v>1193</v>
      </c>
      <c r="P362" s="5"/>
      <c r="Q362" s="5"/>
      <c r="R362" s="7"/>
      <c r="S362" s="7"/>
      <c r="T362" s="5"/>
      <c r="U362" s="6"/>
      <c r="V362" s="7"/>
      <c r="W362" s="5"/>
      <c r="X362" s="7"/>
      <c r="Y362" s="7"/>
      <c r="Z362" s="7"/>
      <c r="AA362" s="10"/>
      <c r="AB362" s="11"/>
      <c r="AC362" s="10"/>
      <c r="AD362" s="12"/>
      <c r="AE362" s="12"/>
      <c r="AF362" s="12"/>
      <c r="AG362" s="7"/>
      <c r="AH362" s="7"/>
      <c r="AI362" s="5" t="s">
        <v>1194</v>
      </c>
    </row>
    <row r="363" customFormat="false" ht="15" hidden="false" customHeight="false" outlineLevel="0" collapsed="false">
      <c r="A363" s="5" t="s">
        <v>291</v>
      </c>
      <c r="B363" s="5" t="s">
        <v>1195</v>
      </c>
      <c r="C363" s="5" t="s">
        <v>1196</v>
      </c>
      <c r="D363" s="5" t="s">
        <v>291</v>
      </c>
      <c r="E363" s="5" t="s">
        <v>60</v>
      </c>
      <c r="F363" s="6" t="n">
        <v>21101.87</v>
      </c>
      <c r="G363" s="7" t="n">
        <v>893</v>
      </c>
      <c r="H363" s="8" t="n">
        <v>0.9181</v>
      </c>
      <c r="I363" s="8" t="n">
        <v>0.6723</v>
      </c>
      <c r="J363" s="7" t="n">
        <v>157</v>
      </c>
      <c r="K363" s="5" t="n">
        <v>26</v>
      </c>
      <c r="L363" s="5" t="n">
        <v>212</v>
      </c>
      <c r="M363" s="5" t="n">
        <v>3.9</v>
      </c>
      <c r="N363" s="15" t="s">
        <v>151</v>
      </c>
      <c r="O363" s="5" t="s">
        <v>1197</v>
      </c>
      <c r="P363" s="5" t="s">
        <v>1198</v>
      </c>
      <c r="Q363" s="14" t="s">
        <v>1199</v>
      </c>
      <c r="R363" s="7" t="n">
        <v>2144</v>
      </c>
      <c r="S363" s="7" t="n">
        <v>118</v>
      </c>
      <c r="T363" s="5" t="s">
        <v>1200</v>
      </c>
      <c r="U363" s="6" t="n">
        <v>875649.18</v>
      </c>
      <c r="V363" s="7" t="n">
        <v>43047</v>
      </c>
      <c r="W363" s="5" t="n">
        <v>509</v>
      </c>
      <c r="X363" s="7" t="n">
        <v>1874</v>
      </c>
      <c r="Y363" s="7" t="n">
        <v>4199</v>
      </c>
      <c r="Z363" s="7" t="n">
        <v>1209</v>
      </c>
      <c r="AA363" s="10" t="n">
        <v>7.07</v>
      </c>
      <c r="AB363" s="11" t="n">
        <v>122.08</v>
      </c>
      <c r="AC363" s="10" t="n">
        <v>19.62</v>
      </c>
      <c r="AD363" s="12" t="n">
        <v>0.73</v>
      </c>
      <c r="AE363" s="12" t="n">
        <v>0.8</v>
      </c>
      <c r="AF363" s="12" t="n">
        <v>0.96</v>
      </c>
      <c r="AG363" s="7" t="n">
        <v>11</v>
      </c>
      <c r="AH363" s="7" t="n">
        <v>598</v>
      </c>
      <c r="AI363" s="5" t="s">
        <v>1201</v>
      </c>
    </row>
    <row r="364" customFormat="false" ht="15" hidden="false" customHeight="false" outlineLevel="0" collapsed="false">
      <c r="A364" s="5" t="s">
        <v>291</v>
      </c>
      <c r="B364" s="5" t="s">
        <v>1202</v>
      </c>
      <c r="C364" s="5" t="s">
        <v>1203</v>
      </c>
      <c r="D364" s="5" t="s">
        <v>291</v>
      </c>
      <c r="E364" s="5" t="s">
        <v>53</v>
      </c>
      <c r="F364" s="6" t="n">
        <v>20971.88</v>
      </c>
      <c r="G364" s="7" t="n">
        <v>3142</v>
      </c>
      <c r="H364" s="8" t="n">
        <v>0.5173</v>
      </c>
      <c r="I364" s="8" t="n">
        <v>0.3081</v>
      </c>
      <c r="J364" s="7" t="n">
        <v>73</v>
      </c>
      <c r="K364" s="5" t="n">
        <v>48</v>
      </c>
      <c r="L364" s="5" t="n">
        <v>838</v>
      </c>
      <c r="M364" s="5" t="n">
        <v>5</v>
      </c>
      <c r="N364" s="9" t="s">
        <v>54</v>
      </c>
      <c r="O364" s="5"/>
      <c r="P364" s="5"/>
      <c r="Q364" s="5"/>
      <c r="R364" s="7"/>
      <c r="S364" s="7"/>
      <c r="T364" s="5"/>
      <c r="U364" s="6"/>
      <c r="V364" s="7"/>
      <c r="W364" s="5"/>
      <c r="X364" s="7"/>
      <c r="Y364" s="7"/>
      <c r="Z364" s="7"/>
      <c r="AA364" s="10"/>
      <c r="AB364" s="11"/>
      <c r="AC364" s="10"/>
      <c r="AD364" s="12"/>
      <c r="AE364" s="12"/>
      <c r="AF364" s="12"/>
      <c r="AG364" s="7"/>
      <c r="AH364" s="7"/>
      <c r="AI364" s="5" t="s">
        <v>1204</v>
      </c>
    </row>
    <row r="365" customFormat="false" ht="15" hidden="false" customHeight="false" outlineLevel="0" collapsed="false">
      <c r="A365" s="5" t="s">
        <v>291</v>
      </c>
      <c r="B365" s="5" t="s">
        <v>1205</v>
      </c>
      <c r="C365" s="5" t="s">
        <v>1206</v>
      </c>
      <c r="D365" s="5" t="s">
        <v>89</v>
      </c>
      <c r="E365" s="5" t="s">
        <v>60</v>
      </c>
      <c r="F365" s="6" t="n">
        <v>20278.96</v>
      </c>
      <c r="G365" s="7" t="n">
        <v>1258</v>
      </c>
      <c r="H365" s="8" t="n">
        <v>-0.6329</v>
      </c>
      <c r="I365" s="8" t="n">
        <v>-0.6329</v>
      </c>
      <c r="J365" s="7" t="n">
        <v>508</v>
      </c>
      <c r="K365" s="5" t="n">
        <v>1</v>
      </c>
      <c r="L365" s="5" t="n">
        <v>83</v>
      </c>
      <c r="M365" s="5" t="n">
        <v>4.3</v>
      </c>
      <c r="N365" s="13" t="s">
        <v>61</v>
      </c>
      <c r="O365" s="5"/>
      <c r="P365" s="5"/>
      <c r="Q365" s="5"/>
      <c r="R365" s="7"/>
      <c r="S365" s="7"/>
      <c r="T365" s="5"/>
      <c r="U365" s="6"/>
      <c r="V365" s="7"/>
      <c r="W365" s="5"/>
      <c r="X365" s="7"/>
      <c r="Y365" s="7"/>
      <c r="Z365" s="7"/>
      <c r="AA365" s="10"/>
      <c r="AB365" s="11"/>
      <c r="AC365" s="10"/>
      <c r="AD365" s="12"/>
      <c r="AE365" s="12"/>
      <c r="AF365" s="12"/>
      <c r="AG365" s="7"/>
      <c r="AH365" s="7"/>
      <c r="AI365" s="5" t="s">
        <v>1207</v>
      </c>
    </row>
    <row r="366" customFormat="false" ht="15" hidden="false" customHeight="false" outlineLevel="0" collapsed="false">
      <c r="A366" s="5" t="s">
        <v>291</v>
      </c>
      <c r="B366" s="5" t="s">
        <v>1208</v>
      </c>
      <c r="C366" s="5"/>
      <c r="D366" s="5" t="s">
        <v>446</v>
      </c>
      <c r="E366" s="5" t="s">
        <v>60</v>
      </c>
      <c r="F366" s="6" t="n">
        <v>19240.2</v>
      </c>
      <c r="G366" s="7" t="n">
        <v>954</v>
      </c>
      <c r="H366" s="8" t="n">
        <v>2.3581</v>
      </c>
      <c r="I366" s="8" t="n">
        <v>2.3592</v>
      </c>
      <c r="J366" s="7" t="n">
        <v>182</v>
      </c>
      <c r="K366" s="5" t="n">
        <v>3</v>
      </c>
      <c r="L366" s="5" t="n">
        <v>18</v>
      </c>
      <c r="M366" s="5" t="n">
        <v>4.6</v>
      </c>
      <c r="N366" s="13" t="s">
        <v>61</v>
      </c>
      <c r="O366" s="5"/>
      <c r="P366" s="5"/>
      <c r="Q366" s="5"/>
      <c r="R366" s="7"/>
      <c r="S366" s="7"/>
      <c r="T366" s="5"/>
      <c r="U366" s="6"/>
      <c r="V366" s="7"/>
      <c r="W366" s="5"/>
      <c r="X366" s="7"/>
      <c r="Y366" s="7"/>
      <c r="Z366" s="7"/>
      <c r="AA366" s="10"/>
      <c r="AB366" s="11"/>
      <c r="AC366" s="10"/>
      <c r="AD366" s="12"/>
      <c r="AE366" s="12"/>
      <c r="AF366" s="12"/>
      <c r="AG366" s="7"/>
      <c r="AH366" s="7"/>
      <c r="AI366" s="5" t="s">
        <v>1209</v>
      </c>
    </row>
    <row r="367" customFormat="false" ht="15" hidden="false" customHeight="false" outlineLevel="0" collapsed="false">
      <c r="A367" s="5" t="s">
        <v>291</v>
      </c>
      <c r="B367" s="5" t="s">
        <v>1210</v>
      </c>
      <c r="C367" s="5" t="s">
        <v>1211</v>
      </c>
      <c r="D367" s="5" t="s">
        <v>150</v>
      </c>
      <c r="E367" s="5" t="s">
        <v>60</v>
      </c>
      <c r="F367" s="6" t="n">
        <v>19065.12</v>
      </c>
      <c r="G367" s="7" t="n">
        <v>744</v>
      </c>
      <c r="H367" s="8" t="n">
        <v>-0.3075</v>
      </c>
      <c r="I367" s="8" t="n">
        <v>-0.4533</v>
      </c>
      <c r="J367" s="7" t="n">
        <v>177</v>
      </c>
      <c r="K367" s="5" t="n">
        <v>24</v>
      </c>
      <c r="L367" s="5" t="n">
        <v>71</v>
      </c>
      <c r="M367" s="5" t="n">
        <v>4.1</v>
      </c>
      <c r="N367" s="15" t="s">
        <v>151</v>
      </c>
      <c r="O367" s="5" t="s">
        <v>1212</v>
      </c>
      <c r="P367" s="5"/>
      <c r="Q367" s="5"/>
      <c r="R367" s="7"/>
      <c r="S367" s="7"/>
      <c r="T367" s="5"/>
      <c r="U367" s="6"/>
      <c r="V367" s="7"/>
      <c r="W367" s="5"/>
      <c r="X367" s="7"/>
      <c r="Y367" s="7"/>
      <c r="Z367" s="7"/>
      <c r="AA367" s="10"/>
      <c r="AB367" s="11"/>
      <c r="AC367" s="10"/>
      <c r="AD367" s="12"/>
      <c r="AE367" s="12"/>
      <c r="AF367" s="12"/>
      <c r="AG367" s="7"/>
      <c r="AH367" s="7"/>
      <c r="AI367" s="5" t="s">
        <v>1213</v>
      </c>
    </row>
    <row r="368" customFormat="false" ht="15" hidden="false" customHeight="false" outlineLevel="0" collapsed="false">
      <c r="A368" s="5" t="s">
        <v>291</v>
      </c>
      <c r="B368" s="5" t="s">
        <v>1214</v>
      </c>
      <c r="C368" s="5"/>
      <c r="D368" s="5" t="s">
        <v>291</v>
      </c>
      <c r="E368" s="5" t="s">
        <v>53</v>
      </c>
      <c r="F368" s="6" t="n">
        <v>18801.23</v>
      </c>
      <c r="G368" s="7" t="n">
        <v>1314</v>
      </c>
      <c r="H368" s="8" t="n">
        <v>0.1503</v>
      </c>
      <c r="I368" s="8" t="n">
        <v>0.1426</v>
      </c>
      <c r="J368" s="7" t="n">
        <v>160</v>
      </c>
      <c r="K368" s="5" t="n">
        <v>28</v>
      </c>
      <c r="L368" s="5" t="n">
        <v>253</v>
      </c>
      <c r="M368" s="5" t="n">
        <v>5</v>
      </c>
      <c r="N368" s="9" t="s">
        <v>54</v>
      </c>
      <c r="O368" s="5"/>
      <c r="P368" s="5"/>
      <c r="Q368" s="5"/>
      <c r="R368" s="7"/>
      <c r="S368" s="7"/>
      <c r="T368" s="5"/>
      <c r="U368" s="6"/>
      <c r="V368" s="7"/>
      <c r="W368" s="5"/>
      <c r="X368" s="7"/>
      <c r="Y368" s="7"/>
      <c r="Z368" s="7"/>
      <c r="AA368" s="10"/>
      <c r="AB368" s="11"/>
      <c r="AC368" s="10"/>
      <c r="AD368" s="12"/>
      <c r="AE368" s="12"/>
      <c r="AF368" s="12"/>
      <c r="AG368" s="7"/>
      <c r="AH368" s="7"/>
      <c r="AI368" s="5" t="s">
        <v>1215</v>
      </c>
    </row>
    <row r="369" customFormat="false" ht="15" hidden="false" customHeight="false" outlineLevel="0" collapsed="false">
      <c r="A369" s="5" t="s">
        <v>291</v>
      </c>
      <c r="B369" s="5" t="s">
        <v>1216</v>
      </c>
      <c r="C369" s="5" t="s">
        <v>1217</v>
      </c>
      <c r="D369" s="5" t="s">
        <v>89</v>
      </c>
      <c r="E369" s="5" t="s">
        <v>60</v>
      </c>
      <c r="F369" s="6" t="n">
        <v>18773.85</v>
      </c>
      <c r="G369" s="7" t="n">
        <v>699</v>
      </c>
      <c r="H369" s="8" t="n">
        <v>0.1833</v>
      </c>
      <c r="I369" s="8" t="n">
        <v>0.1497</v>
      </c>
      <c r="J369" s="7" t="n">
        <v>1023</v>
      </c>
      <c r="K369" s="5" t="n">
        <v>4</v>
      </c>
      <c r="L369" s="5" t="n">
        <v>378</v>
      </c>
      <c r="M369" s="5" t="n">
        <v>4.3</v>
      </c>
      <c r="N369" s="15" t="s">
        <v>151</v>
      </c>
      <c r="O369" s="5" t="s">
        <v>1218</v>
      </c>
      <c r="P369" s="5"/>
      <c r="Q369" s="5"/>
      <c r="R369" s="7"/>
      <c r="S369" s="7"/>
      <c r="T369" s="5"/>
      <c r="U369" s="6"/>
      <c r="V369" s="7"/>
      <c r="W369" s="5"/>
      <c r="X369" s="7"/>
      <c r="Y369" s="7"/>
      <c r="Z369" s="7"/>
      <c r="AA369" s="10"/>
      <c r="AB369" s="11"/>
      <c r="AC369" s="10"/>
      <c r="AD369" s="12"/>
      <c r="AE369" s="12"/>
      <c r="AF369" s="12"/>
      <c r="AG369" s="7"/>
      <c r="AH369" s="7"/>
      <c r="AI369" s="5" t="s">
        <v>1219</v>
      </c>
    </row>
    <row r="370" customFormat="false" ht="15" hidden="false" customHeight="false" outlineLevel="0" collapsed="false">
      <c r="A370" s="5" t="s">
        <v>291</v>
      </c>
      <c r="B370" s="5" t="s">
        <v>1220</v>
      </c>
      <c r="C370" s="5"/>
      <c r="D370" s="5" t="s">
        <v>1221</v>
      </c>
      <c r="E370" s="5" t="s">
        <v>60</v>
      </c>
      <c r="F370" s="6" t="n">
        <v>18667.21</v>
      </c>
      <c r="G370" s="7" t="n">
        <v>1990</v>
      </c>
      <c r="H370" s="8" t="n">
        <v>12.6588</v>
      </c>
      <c r="I370" s="8" t="n">
        <v>9.8152</v>
      </c>
      <c r="J370" s="7" t="n">
        <v>116</v>
      </c>
      <c r="K370" s="5" t="n">
        <v>2</v>
      </c>
      <c r="L370" s="5" t="n">
        <v>6</v>
      </c>
      <c r="M370" s="5" t="n">
        <v>4.6</v>
      </c>
      <c r="N370" s="13" t="s">
        <v>61</v>
      </c>
      <c r="O370" s="5"/>
      <c r="P370" s="5"/>
      <c r="Q370" s="5"/>
      <c r="R370" s="7"/>
      <c r="S370" s="7"/>
      <c r="T370" s="5"/>
      <c r="U370" s="6"/>
      <c r="V370" s="7"/>
      <c r="W370" s="5"/>
      <c r="X370" s="7"/>
      <c r="Y370" s="7"/>
      <c r="Z370" s="7"/>
      <c r="AA370" s="10"/>
      <c r="AB370" s="11"/>
      <c r="AC370" s="10"/>
      <c r="AD370" s="12"/>
      <c r="AE370" s="12"/>
      <c r="AF370" s="12"/>
      <c r="AG370" s="7"/>
      <c r="AH370" s="7"/>
      <c r="AI370" s="5" t="s">
        <v>1222</v>
      </c>
    </row>
    <row r="371" customFormat="false" ht="15" hidden="false" customHeight="false" outlineLevel="0" collapsed="false">
      <c r="A371" s="5" t="s">
        <v>291</v>
      </c>
      <c r="B371" s="5" t="s">
        <v>1223</v>
      </c>
      <c r="C371" s="5" t="s">
        <v>1224</v>
      </c>
      <c r="D371" s="5" t="s">
        <v>291</v>
      </c>
      <c r="E371" s="5" t="s">
        <v>60</v>
      </c>
      <c r="F371" s="6" t="n">
        <v>18489.04</v>
      </c>
      <c r="G371" s="7" t="n">
        <v>460</v>
      </c>
      <c r="H371" s="8" t="n">
        <v>-0.2335</v>
      </c>
      <c r="I371" s="8" t="n">
        <v>-0.341</v>
      </c>
      <c r="J371" s="7" t="n">
        <v>349</v>
      </c>
      <c r="K371" s="5" t="n">
        <v>9</v>
      </c>
      <c r="L371" s="5" t="n">
        <v>13</v>
      </c>
      <c r="M371" s="5" t="n">
        <v>4.6</v>
      </c>
      <c r="N371" s="15" t="s">
        <v>151</v>
      </c>
      <c r="O371" s="5" t="s">
        <v>1225</v>
      </c>
      <c r="P371" s="5"/>
      <c r="Q371" s="5"/>
      <c r="R371" s="7"/>
      <c r="S371" s="7"/>
      <c r="T371" s="5"/>
      <c r="U371" s="6"/>
      <c r="V371" s="7"/>
      <c r="W371" s="5"/>
      <c r="X371" s="7"/>
      <c r="Y371" s="7"/>
      <c r="Z371" s="7"/>
      <c r="AA371" s="10"/>
      <c r="AB371" s="11"/>
      <c r="AC371" s="10"/>
      <c r="AD371" s="12"/>
      <c r="AE371" s="12"/>
      <c r="AF371" s="12"/>
      <c r="AG371" s="7"/>
      <c r="AH371" s="7"/>
      <c r="AI371" s="5" t="s">
        <v>1226</v>
      </c>
    </row>
    <row r="372" customFormat="false" ht="15" hidden="false" customHeight="false" outlineLevel="0" collapsed="false">
      <c r="A372" s="5" t="s">
        <v>291</v>
      </c>
      <c r="B372" s="5" t="s">
        <v>1227</v>
      </c>
      <c r="C372" s="5" t="s">
        <v>1228</v>
      </c>
      <c r="D372" s="5" t="s">
        <v>291</v>
      </c>
      <c r="E372" s="5" t="s">
        <v>60</v>
      </c>
      <c r="F372" s="6" t="n">
        <v>18044.59</v>
      </c>
      <c r="G372" s="7" t="n">
        <v>1597</v>
      </c>
      <c r="H372" s="8" t="n">
        <v>0.0047</v>
      </c>
      <c r="I372" s="8" t="n">
        <v>-0.0947</v>
      </c>
      <c r="J372" s="7" t="n">
        <v>37</v>
      </c>
      <c r="K372" s="5" t="n">
        <v>39</v>
      </c>
      <c r="L372" s="5" t="n">
        <v>429</v>
      </c>
      <c r="M372" s="5" t="n">
        <v>4.9</v>
      </c>
      <c r="N372" s="9" t="s">
        <v>54</v>
      </c>
      <c r="O372" s="5"/>
      <c r="P372" s="5"/>
      <c r="Q372" s="5"/>
      <c r="R372" s="7"/>
      <c r="S372" s="7"/>
      <c r="T372" s="5"/>
      <c r="U372" s="6"/>
      <c r="V372" s="7"/>
      <c r="W372" s="5"/>
      <c r="X372" s="7"/>
      <c r="Y372" s="7"/>
      <c r="Z372" s="7"/>
      <c r="AA372" s="10"/>
      <c r="AB372" s="11"/>
      <c r="AC372" s="10"/>
      <c r="AD372" s="12"/>
      <c r="AE372" s="12"/>
      <c r="AF372" s="12"/>
      <c r="AG372" s="7"/>
      <c r="AH372" s="7"/>
      <c r="AI372" s="5" t="s">
        <v>1229</v>
      </c>
    </row>
    <row r="373" customFormat="false" ht="15" hidden="false" customHeight="false" outlineLevel="0" collapsed="false">
      <c r="A373" s="5" t="s">
        <v>291</v>
      </c>
      <c r="B373" s="5" t="s">
        <v>1230</v>
      </c>
      <c r="C373" s="5" t="s">
        <v>1231</v>
      </c>
      <c r="D373" s="5" t="s">
        <v>269</v>
      </c>
      <c r="E373" s="5" t="s">
        <v>60</v>
      </c>
      <c r="F373" s="6" t="n">
        <v>16510.28</v>
      </c>
      <c r="G373" s="7" t="n">
        <v>916</v>
      </c>
      <c r="H373" s="8" t="n">
        <v>0.037</v>
      </c>
      <c r="I373" s="8" t="n">
        <v>-0.0307</v>
      </c>
      <c r="J373" s="7" t="n">
        <v>272</v>
      </c>
      <c r="K373" s="5" t="n">
        <v>3</v>
      </c>
      <c r="L373" s="5" t="n">
        <v>55</v>
      </c>
      <c r="M373" s="5" t="n">
        <v>4.3</v>
      </c>
      <c r="N373" s="15" t="s">
        <v>151</v>
      </c>
      <c r="O373" s="5" t="s">
        <v>1232</v>
      </c>
      <c r="P373" s="5"/>
      <c r="Q373" s="5"/>
      <c r="R373" s="7"/>
      <c r="S373" s="7"/>
      <c r="T373" s="5"/>
      <c r="U373" s="6"/>
      <c r="V373" s="7"/>
      <c r="W373" s="5"/>
      <c r="X373" s="7"/>
      <c r="Y373" s="7"/>
      <c r="Z373" s="7"/>
      <c r="AA373" s="10"/>
      <c r="AB373" s="11"/>
      <c r="AC373" s="10"/>
      <c r="AD373" s="12"/>
      <c r="AE373" s="12"/>
      <c r="AF373" s="12"/>
      <c r="AG373" s="7"/>
      <c r="AH373" s="7"/>
      <c r="AI373" s="5" t="s">
        <v>1233</v>
      </c>
    </row>
    <row r="374" customFormat="false" ht="15" hidden="false" customHeight="false" outlineLevel="0" collapsed="false">
      <c r="A374" s="5" t="s">
        <v>291</v>
      </c>
      <c r="B374" s="5" t="s">
        <v>1234</v>
      </c>
      <c r="C374" s="5" t="s">
        <v>1235</v>
      </c>
      <c r="D374" s="5" t="s">
        <v>291</v>
      </c>
      <c r="E374" s="5" t="s">
        <v>53</v>
      </c>
      <c r="F374" s="6" t="n">
        <v>16359.28</v>
      </c>
      <c r="G374" s="7" t="n">
        <v>1577</v>
      </c>
      <c r="H374" s="8" t="n">
        <v>-0.6478</v>
      </c>
      <c r="I374" s="8" t="n">
        <v>-0.6561</v>
      </c>
      <c r="J374" s="7" t="n">
        <v>289</v>
      </c>
      <c r="K374" s="5" t="n">
        <v>42</v>
      </c>
      <c r="L374" s="5" t="n">
        <v>153</v>
      </c>
      <c r="M374" s="5" t="n">
        <v>3.9</v>
      </c>
      <c r="N374" s="9" t="s">
        <v>54</v>
      </c>
      <c r="O374" s="5"/>
      <c r="P374" s="5"/>
      <c r="Q374" s="5"/>
      <c r="R374" s="7"/>
      <c r="S374" s="7"/>
      <c r="T374" s="5"/>
      <c r="U374" s="6"/>
      <c r="V374" s="7"/>
      <c r="W374" s="5"/>
      <c r="X374" s="7"/>
      <c r="Y374" s="7"/>
      <c r="Z374" s="7"/>
      <c r="AA374" s="10"/>
      <c r="AB374" s="11"/>
      <c r="AC374" s="10"/>
      <c r="AD374" s="12"/>
      <c r="AE374" s="12"/>
      <c r="AF374" s="12"/>
      <c r="AG374" s="7"/>
      <c r="AH374" s="7"/>
      <c r="AI374" s="5" t="s">
        <v>1236</v>
      </c>
    </row>
    <row r="375" customFormat="false" ht="15" hidden="false" customHeight="false" outlineLevel="0" collapsed="false">
      <c r="A375" s="5" t="s">
        <v>291</v>
      </c>
      <c r="B375" s="5" t="s">
        <v>1237</v>
      </c>
      <c r="C375" s="5"/>
      <c r="D375" s="5" t="s">
        <v>291</v>
      </c>
      <c r="E375" s="5" t="s">
        <v>60</v>
      </c>
      <c r="F375" s="6" t="n">
        <v>16140.44</v>
      </c>
      <c r="G375" s="7" t="n">
        <v>1873</v>
      </c>
      <c r="H375" s="8" t="n">
        <v>-0.4617</v>
      </c>
      <c r="I375" s="8" t="n">
        <v>-0.4914</v>
      </c>
      <c r="J375" s="7" t="n">
        <v>126</v>
      </c>
      <c r="K375" s="5" t="n">
        <v>15</v>
      </c>
      <c r="L375" s="5" t="n">
        <v>46</v>
      </c>
      <c r="M375" s="5" t="n">
        <v>3.6</v>
      </c>
      <c r="N375" s="9" t="s">
        <v>54</v>
      </c>
      <c r="O375" s="5"/>
      <c r="P375" s="5"/>
      <c r="Q375" s="5"/>
      <c r="R375" s="7"/>
      <c r="S375" s="7"/>
      <c r="T375" s="5"/>
      <c r="U375" s="6"/>
      <c r="V375" s="7"/>
      <c r="W375" s="5"/>
      <c r="X375" s="7"/>
      <c r="Y375" s="7"/>
      <c r="Z375" s="7"/>
      <c r="AA375" s="10"/>
      <c r="AB375" s="11"/>
      <c r="AC375" s="10"/>
      <c r="AD375" s="12"/>
      <c r="AE375" s="12"/>
      <c r="AF375" s="12"/>
      <c r="AG375" s="7"/>
      <c r="AH375" s="7"/>
      <c r="AI375" s="5" t="s">
        <v>1238</v>
      </c>
    </row>
    <row r="376" customFormat="false" ht="15" hidden="false" customHeight="false" outlineLevel="0" collapsed="false">
      <c r="A376" s="5" t="s">
        <v>291</v>
      </c>
      <c r="B376" s="5" t="s">
        <v>1239</v>
      </c>
      <c r="C376" s="5" t="s">
        <v>1240</v>
      </c>
      <c r="D376" s="5" t="s">
        <v>291</v>
      </c>
      <c r="E376" s="5" t="s">
        <v>60</v>
      </c>
      <c r="F376" s="6" t="n">
        <v>16036.39</v>
      </c>
      <c r="G376" s="7" t="n">
        <v>1229</v>
      </c>
      <c r="H376" s="8" t="n">
        <v>0.139</v>
      </c>
      <c r="I376" s="8" t="n">
        <v>0.184</v>
      </c>
      <c r="J376" s="7" t="n">
        <v>228</v>
      </c>
      <c r="K376" s="5" t="n">
        <v>29</v>
      </c>
      <c r="L376" s="5" t="n">
        <v>166</v>
      </c>
      <c r="M376" s="5" t="n">
        <v>4.5</v>
      </c>
      <c r="N376" s="9" t="s">
        <v>54</v>
      </c>
      <c r="O376" s="5"/>
      <c r="P376" s="5" t="s">
        <v>1241</v>
      </c>
      <c r="Q376" s="14" t="s">
        <v>1242</v>
      </c>
      <c r="R376" s="7" t="n">
        <v>1074</v>
      </c>
      <c r="S376" s="7" t="n">
        <v>28</v>
      </c>
      <c r="T376" s="5" t="s">
        <v>1243</v>
      </c>
      <c r="U376" s="6" t="n">
        <v>799290.32</v>
      </c>
      <c r="V376" s="7" t="n">
        <v>74057</v>
      </c>
      <c r="W376" s="5" t="n">
        <v>346</v>
      </c>
      <c r="X376" s="7" t="n">
        <v>2481</v>
      </c>
      <c r="Y376" s="7" t="n">
        <v>5437</v>
      </c>
      <c r="Z376" s="7" t="n">
        <v>2326</v>
      </c>
      <c r="AA376" s="10" t="n">
        <v>2.6</v>
      </c>
      <c r="AB376" s="11" t="n">
        <v>498.4</v>
      </c>
      <c r="AC376" s="10" t="n">
        <v>11.43</v>
      </c>
      <c r="AD376" s="12" t="n">
        <v>0.81</v>
      </c>
      <c r="AE376" s="12" t="n">
        <v>0.9</v>
      </c>
      <c r="AF376" s="12" t="n">
        <v>0.92</v>
      </c>
      <c r="AG376" s="7" t="n">
        <v>34</v>
      </c>
      <c r="AH376" s="7" t="n">
        <v>1761</v>
      </c>
      <c r="AI376" s="5" t="s">
        <v>1244</v>
      </c>
    </row>
    <row r="377" customFormat="false" ht="15" hidden="false" customHeight="false" outlineLevel="0" collapsed="false">
      <c r="A377" s="5" t="s">
        <v>291</v>
      </c>
      <c r="B377" s="5" t="s">
        <v>1245</v>
      </c>
      <c r="C377" s="5" t="s">
        <v>1196</v>
      </c>
      <c r="D377" s="5" t="s">
        <v>291</v>
      </c>
      <c r="E377" s="5" t="s">
        <v>60</v>
      </c>
      <c r="F377" s="6" t="n">
        <v>15998.53</v>
      </c>
      <c r="G377" s="7" t="n">
        <v>621</v>
      </c>
      <c r="H377" s="8" t="n">
        <v>0.5352</v>
      </c>
      <c r="I377" s="8" t="n">
        <v>0.3298</v>
      </c>
      <c r="J377" s="7" t="n">
        <v>92</v>
      </c>
      <c r="K377" s="5" t="n">
        <v>24</v>
      </c>
      <c r="L377" s="5" t="n">
        <v>231</v>
      </c>
      <c r="M377" s="5" t="n">
        <v>3.8</v>
      </c>
      <c r="N377" s="9" t="s">
        <v>54</v>
      </c>
      <c r="O377" s="5"/>
      <c r="P377" s="5"/>
      <c r="Q377" s="5"/>
      <c r="R377" s="7"/>
      <c r="S377" s="7"/>
      <c r="T377" s="5"/>
      <c r="U377" s="6"/>
      <c r="V377" s="7"/>
      <c r="W377" s="5"/>
      <c r="X377" s="7"/>
      <c r="Y377" s="7"/>
      <c r="Z377" s="7"/>
      <c r="AA377" s="10"/>
      <c r="AB377" s="11"/>
      <c r="AC377" s="10"/>
      <c r="AD377" s="12"/>
      <c r="AE377" s="12"/>
      <c r="AF377" s="12"/>
      <c r="AG377" s="7"/>
      <c r="AH377" s="7"/>
      <c r="AI377" s="5" t="s">
        <v>1246</v>
      </c>
    </row>
    <row r="378" customFormat="false" ht="15" hidden="false" customHeight="false" outlineLevel="0" collapsed="false">
      <c r="A378" s="5" t="s">
        <v>291</v>
      </c>
      <c r="B378" s="5" t="s">
        <v>1247</v>
      </c>
      <c r="C378" s="5" t="s">
        <v>1248</v>
      </c>
      <c r="D378" s="5" t="s">
        <v>291</v>
      </c>
      <c r="E378" s="5" t="s">
        <v>53</v>
      </c>
      <c r="F378" s="6" t="n">
        <v>15260.83</v>
      </c>
      <c r="G378" s="7" t="n">
        <v>1267</v>
      </c>
      <c r="H378" s="8" t="n">
        <v>1.9186</v>
      </c>
      <c r="I378" s="8" t="n">
        <v>1.7543</v>
      </c>
      <c r="J378" s="7" t="n">
        <v>290</v>
      </c>
      <c r="K378" s="5" t="n">
        <v>11</v>
      </c>
      <c r="L378" s="5" t="n">
        <v>535</v>
      </c>
      <c r="M378" s="5" t="n">
        <v>4.7</v>
      </c>
      <c r="N378" s="9" t="s">
        <v>54</v>
      </c>
      <c r="O378" s="5"/>
      <c r="P378" s="5"/>
      <c r="Q378" s="5"/>
      <c r="R378" s="7"/>
      <c r="S378" s="7"/>
      <c r="T378" s="5"/>
      <c r="U378" s="6"/>
      <c r="V378" s="7"/>
      <c r="W378" s="5"/>
      <c r="X378" s="7"/>
      <c r="Y378" s="7"/>
      <c r="Z378" s="7"/>
      <c r="AA378" s="10"/>
      <c r="AB378" s="11"/>
      <c r="AC378" s="10"/>
      <c r="AD378" s="12"/>
      <c r="AE378" s="12"/>
      <c r="AF378" s="12"/>
      <c r="AG378" s="7"/>
      <c r="AH378" s="7"/>
      <c r="AI378" s="5" t="s">
        <v>1249</v>
      </c>
    </row>
    <row r="379" customFormat="false" ht="15" hidden="false" customHeight="false" outlineLevel="0" collapsed="false">
      <c r="A379" s="5" t="s">
        <v>291</v>
      </c>
      <c r="B379" s="5" t="s">
        <v>1250</v>
      </c>
      <c r="C379" s="5" t="s">
        <v>1251</v>
      </c>
      <c r="D379" s="5" t="s">
        <v>291</v>
      </c>
      <c r="E379" s="5" t="s">
        <v>53</v>
      </c>
      <c r="F379" s="6" t="n">
        <v>15136.08</v>
      </c>
      <c r="G379" s="7" t="n">
        <v>1476</v>
      </c>
      <c r="H379" s="8" t="n">
        <v>-0.5159</v>
      </c>
      <c r="I379" s="8" t="n">
        <v>-0.5159</v>
      </c>
      <c r="J379" s="7" t="n">
        <v>0</v>
      </c>
      <c r="K379" s="5" t="n">
        <v>1</v>
      </c>
      <c r="L379" s="5" t="n">
        <v>1</v>
      </c>
      <c r="M379" s="5" t="n">
        <v>3.9</v>
      </c>
      <c r="N379" s="9" t="s">
        <v>54</v>
      </c>
      <c r="O379" s="5"/>
      <c r="P379" s="5"/>
      <c r="Q379" s="5"/>
      <c r="R379" s="7"/>
      <c r="S379" s="7"/>
      <c r="T379" s="5"/>
      <c r="U379" s="6"/>
      <c r="V379" s="7"/>
      <c r="W379" s="5"/>
      <c r="X379" s="7"/>
      <c r="Y379" s="7"/>
      <c r="Z379" s="7"/>
      <c r="AA379" s="10"/>
      <c r="AB379" s="11"/>
      <c r="AC379" s="10"/>
      <c r="AD379" s="12"/>
      <c r="AE379" s="12"/>
      <c r="AF379" s="12"/>
      <c r="AG379" s="7"/>
      <c r="AH379" s="7"/>
      <c r="AI379" s="5" t="s">
        <v>1252</v>
      </c>
    </row>
    <row r="380" customFormat="false" ht="15" hidden="false" customHeight="false" outlineLevel="0" collapsed="false">
      <c r="A380" s="5" t="s">
        <v>291</v>
      </c>
      <c r="B380" s="5" t="s">
        <v>1253</v>
      </c>
      <c r="C380" s="5" t="s">
        <v>1254</v>
      </c>
      <c r="D380" s="5" t="s">
        <v>291</v>
      </c>
      <c r="E380" s="5" t="s">
        <v>53</v>
      </c>
      <c r="F380" s="6" t="n">
        <v>15095.97</v>
      </c>
      <c r="G380" s="7" t="n">
        <v>2063</v>
      </c>
      <c r="H380" s="8" t="n">
        <v>12.2984</v>
      </c>
      <c r="I380" s="8" t="n">
        <v>8.5069</v>
      </c>
      <c r="J380" s="7" t="n">
        <v>385</v>
      </c>
      <c r="K380" s="5" t="n">
        <v>10</v>
      </c>
      <c r="L380" s="5" t="n">
        <v>11</v>
      </c>
      <c r="M380" s="5" t="n">
        <v>4.9</v>
      </c>
      <c r="N380" s="9" t="s">
        <v>54</v>
      </c>
      <c r="O380" s="5"/>
      <c r="P380" s="5"/>
      <c r="Q380" s="5"/>
      <c r="R380" s="7"/>
      <c r="S380" s="7"/>
      <c r="T380" s="5"/>
      <c r="U380" s="6"/>
      <c r="V380" s="7"/>
      <c r="W380" s="5"/>
      <c r="X380" s="7"/>
      <c r="Y380" s="7"/>
      <c r="Z380" s="7"/>
      <c r="AA380" s="10"/>
      <c r="AB380" s="11"/>
      <c r="AC380" s="10"/>
      <c r="AD380" s="12"/>
      <c r="AE380" s="12"/>
      <c r="AF380" s="12"/>
      <c r="AG380" s="7"/>
      <c r="AH380" s="7"/>
      <c r="AI380" s="5" t="s">
        <v>1255</v>
      </c>
    </row>
    <row r="381" customFormat="false" ht="15" hidden="false" customHeight="false" outlineLevel="0" collapsed="false">
      <c r="A381" s="5" t="s">
        <v>291</v>
      </c>
      <c r="B381" s="5" t="s">
        <v>1256</v>
      </c>
      <c r="C381" s="5" t="s">
        <v>1256</v>
      </c>
      <c r="D381" s="5" t="s">
        <v>59</v>
      </c>
      <c r="E381" s="5" t="s">
        <v>60</v>
      </c>
      <c r="F381" s="6" t="n">
        <v>14311.55</v>
      </c>
      <c r="G381" s="7" t="n">
        <v>783</v>
      </c>
      <c r="H381" s="8" t="n">
        <v>-0.2192</v>
      </c>
      <c r="I381" s="8" t="n">
        <v>-0.2737</v>
      </c>
      <c r="J381" s="7" t="n">
        <v>174</v>
      </c>
      <c r="K381" s="5" t="n">
        <v>21</v>
      </c>
      <c r="L381" s="5" t="n">
        <v>349</v>
      </c>
      <c r="M381" s="5" t="n">
        <v>4.3</v>
      </c>
      <c r="N381" s="13" t="s">
        <v>61</v>
      </c>
      <c r="O381" s="5"/>
      <c r="P381" s="5"/>
      <c r="Q381" s="5"/>
      <c r="R381" s="7"/>
      <c r="S381" s="7"/>
      <c r="T381" s="5"/>
      <c r="U381" s="6"/>
      <c r="V381" s="7"/>
      <c r="W381" s="5"/>
      <c r="X381" s="7"/>
      <c r="Y381" s="7"/>
      <c r="Z381" s="7"/>
      <c r="AA381" s="10"/>
      <c r="AB381" s="11"/>
      <c r="AC381" s="10"/>
      <c r="AD381" s="12"/>
      <c r="AE381" s="12"/>
      <c r="AF381" s="12"/>
      <c r="AG381" s="7"/>
      <c r="AH381" s="7"/>
      <c r="AI381" s="5" t="s">
        <v>1257</v>
      </c>
    </row>
    <row r="382" customFormat="false" ht="15" hidden="false" customHeight="false" outlineLevel="0" collapsed="false">
      <c r="A382" s="5" t="s">
        <v>291</v>
      </c>
      <c r="B382" s="5" t="s">
        <v>1258</v>
      </c>
      <c r="C382" s="5" t="s">
        <v>1259</v>
      </c>
      <c r="D382" s="5" t="s">
        <v>291</v>
      </c>
      <c r="E382" s="5" t="s">
        <v>60</v>
      </c>
      <c r="F382" s="6" t="n">
        <v>14174.32</v>
      </c>
      <c r="G382" s="7" t="n">
        <v>883</v>
      </c>
      <c r="H382" s="8" t="n">
        <v>-0.5157</v>
      </c>
      <c r="I382" s="8" t="n">
        <v>-0.4747</v>
      </c>
      <c r="J382" s="7" t="n">
        <v>251</v>
      </c>
      <c r="K382" s="5" t="n">
        <v>31</v>
      </c>
      <c r="L382" s="5" t="n">
        <v>422</v>
      </c>
      <c r="M382" s="5" t="n">
        <v>4.8</v>
      </c>
      <c r="N382" s="9" t="s">
        <v>54</v>
      </c>
      <c r="O382" s="5"/>
      <c r="P382" s="5" t="s">
        <v>1260</v>
      </c>
      <c r="Q382" s="14" t="s">
        <v>1261</v>
      </c>
      <c r="R382" s="7" t="n">
        <v>16945</v>
      </c>
      <c r="S382" s="7" t="n">
        <v>502</v>
      </c>
      <c r="T382" s="5" t="s">
        <v>1262</v>
      </c>
      <c r="U382" s="6" t="n">
        <v>262503.6</v>
      </c>
      <c r="V382" s="7" t="n">
        <v>23656</v>
      </c>
      <c r="W382" s="5" t="n">
        <v>598</v>
      </c>
      <c r="X382" s="7" t="n">
        <v>772</v>
      </c>
      <c r="Y382" s="7" t="n">
        <v>2198</v>
      </c>
      <c r="Z382" s="7" t="n">
        <v>548</v>
      </c>
      <c r="AA382" s="10" t="n">
        <v>0.5</v>
      </c>
      <c r="AB382" s="11" t="n">
        <v>140</v>
      </c>
      <c r="AC382" s="10" t="n">
        <v>12.99</v>
      </c>
      <c r="AD382" s="12" t="n">
        <v>0.68</v>
      </c>
      <c r="AE382" s="12" t="n">
        <v>0.97</v>
      </c>
      <c r="AF382" s="12" t="n">
        <v>1</v>
      </c>
      <c r="AG382" s="7" t="n">
        <v>57</v>
      </c>
      <c r="AH382" s="7" t="n">
        <v>2740</v>
      </c>
      <c r="AI382" s="5" t="s">
        <v>1263</v>
      </c>
    </row>
    <row r="383" customFormat="false" ht="15" hidden="false" customHeight="false" outlineLevel="0" collapsed="false">
      <c r="A383" s="5" t="s">
        <v>1264</v>
      </c>
      <c r="B383" s="5" t="s">
        <v>1265</v>
      </c>
      <c r="C383" s="5" t="s">
        <v>1266</v>
      </c>
      <c r="D383" s="5" t="s">
        <v>1264</v>
      </c>
      <c r="E383" s="5" t="s">
        <v>60</v>
      </c>
      <c r="F383" s="6" t="n">
        <v>29194.15</v>
      </c>
      <c r="G383" s="7" t="n">
        <v>1246</v>
      </c>
      <c r="H383" s="8" t="n">
        <v>0.0737</v>
      </c>
      <c r="I383" s="8" t="n">
        <v>-0.0539</v>
      </c>
      <c r="J383" s="7" t="n">
        <v>114</v>
      </c>
      <c r="K383" s="5" t="n">
        <v>15</v>
      </c>
      <c r="L383" s="5" t="n">
        <v>46</v>
      </c>
      <c r="M383" s="5" t="n">
        <v>4.1</v>
      </c>
      <c r="N383" s="9" t="s">
        <v>54</v>
      </c>
      <c r="O383" s="5"/>
      <c r="P383" s="5"/>
      <c r="Q383" s="5"/>
      <c r="R383" s="7"/>
      <c r="S383" s="7"/>
      <c r="T383" s="5"/>
      <c r="U383" s="6"/>
      <c r="V383" s="7"/>
      <c r="W383" s="5"/>
      <c r="X383" s="7"/>
      <c r="Y383" s="7"/>
      <c r="Z383" s="7"/>
      <c r="AA383" s="10"/>
      <c r="AB383" s="11"/>
      <c r="AC383" s="10"/>
      <c r="AD383" s="12"/>
      <c r="AE383" s="12"/>
      <c r="AF383" s="12"/>
      <c r="AG383" s="7"/>
      <c r="AH383" s="7"/>
      <c r="AI383" s="5" t="s">
        <v>1267</v>
      </c>
    </row>
    <row r="384" customFormat="false" ht="15" hidden="false" customHeight="false" outlineLevel="0" collapsed="false">
      <c r="A384" s="5" t="s">
        <v>1264</v>
      </c>
      <c r="B384" s="5" t="s">
        <v>1268</v>
      </c>
      <c r="C384" s="5" t="s">
        <v>1269</v>
      </c>
      <c r="D384" s="5" t="s">
        <v>1264</v>
      </c>
      <c r="E384" s="5" t="s">
        <v>60</v>
      </c>
      <c r="F384" s="6" t="n">
        <v>27389.41</v>
      </c>
      <c r="G384" s="7" t="n">
        <v>679</v>
      </c>
      <c r="H384" s="8" t="n">
        <v>-0.301</v>
      </c>
      <c r="I384" s="8" t="n">
        <v>-0.3</v>
      </c>
      <c r="J384" s="7" t="n">
        <v>1930</v>
      </c>
      <c r="K384" s="5" t="n">
        <v>116</v>
      </c>
      <c r="L384" s="5" t="n">
        <v>342</v>
      </c>
      <c r="M384" s="5" t="n">
        <v>4.2</v>
      </c>
      <c r="N384" s="9" t="s">
        <v>54</v>
      </c>
      <c r="O384" s="5"/>
      <c r="P384" s="5" t="s">
        <v>1270</v>
      </c>
      <c r="Q384" s="14" t="s">
        <v>1271</v>
      </c>
      <c r="R384" s="7" t="n">
        <v>134701</v>
      </c>
      <c r="S384" s="7" t="n">
        <v>154</v>
      </c>
      <c r="T384" s="5" t="s">
        <v>1272</v>
      </c>
      <c r="U384" s="6" t="n">
        <v>7854288.8</v>
      </c>
      <c r="V384" s="7" t="n">
        <v>230919</v>
      </c>
      <c r="W384" s="5" t="n">
        <v>664</v>
      </c>
      <c r="X384" s="7" t="n">
        <v>10768</v>
      </c>
      <c r="Y384" s="7" t="n">
        <v>12875</v>
      </c>
      <c r="Z384" s="7" t="n">
        <v>6959</v>
      </c>
      <c r="AA384" s="10" t="n">
        <v>1</v>
      </c>
      <c r="AB384" s="11" t="n">
        <v>275</v>
      </c>
      <c r="AC384" s="10" t="n">
        <v>53.71</v>
      </c>
      <c r="AD384" s="12" t="n">
        <v>0.7</v>
      </c>
      <c r="AE384" s="12" t="n">
        <v>0.94</v>
      </c>
      <c r="AF384" s="12" t="n">
        <v>1</v>
      </c>
      <c r="AG384" s="7" t="n">
        <v>21</v>
      </c>
      <c r="AH384" s="7" t="n">
        <v>1642</v>
      </c>
      <c r="AI384" s="5" t="s">
        <v>1273</v>
      </c>
    </row>
    <row r="385" customFormat="false" ht="15" hidden="false" customHeight="false" outlineLevel="0" collapsed="false">
      <c r="A385" s="5" t="s">
        <v>1264</v>
      </c>
      <c r="B385" s="5" t="s">
        <v>1274</v>
      </c>
      <c r="C385" s="5"/>
      <c r="D385" s="5" t="s">
        <v>1264</v>
      </c>
      <c r="E385" s="5" t="s">
        <v>53</v>
      </c>
      <c r="F385" s="6" t="n">
        <v>26630.61</v>
      </c>
      <c r="G385" s="7" t="n">
        <v>1579</v>
      </c>
      <c r="H385" s="8" t="n">
        <v>0.0203</v>
      </c>
      <c r="I385" s="8" t="n">
        <v>-0.1119</v>
      </c>
      <c r="J385" s="7" t="n">
        <v>63</v>
      </c>
      <c r="K385" s="5" t="n">
        <v>7</v>
      </c>
      <c r="L385" s="5" t="n">
        <v>52</v>
      </c>
      <c r="M385" s="5" t="n">
        <v>4.6</v>
      </c>
      <c r="N385" s="9" t="s">
        <v>54</v>
      </c>
      <c r="O385" s="5"/>
      <c r="P385" s="5"/>
      <c r="Q385" s="5"/>
      <c r="R385" s="7"/>
      <c r="S385" s="7"/>
      <c r="T385" s="5"/>
      <c r="U385" s="6"/>
      <c r="V385" s="7"/>
      <c r="W385" s="5"/>
      <c r="X385" s="7"/>
      <c r="Y385" s="7"/>
      <c r="Z385" s="7"/>
      <c r="AA385" s="10"/>
      <c r="AB385" s="11"/>
      <c r="AC385" s="10"/>
      <c r="AD385" s="12"/>
      <c r="AE385" s="12"/>
      <c r="AF385" s="12"/>
      <c r="AG385" s="7"/>
      <c r="AH385" s="7"/>
      <c r="AI385" s="5" t="s">
        <v>1275</v>
      </c>
    </row>
    <row r="386" customFormat="false" ht="15" hidden="false" customHeight="false" outlineLevel="0" collapsed="false">
      <c r="A386" s="5" t="s">
        <v>1264</v>
      </c>
      <c r="B386" s="5" t="s">
        <v>1276</v>
      </c>
      <c r="C386" s="5"/>
      <c r="D386" s="5" t="s">
        <v>1264</v>
      </c>
      <c r="E386" s="5" t="s">
        <v>53</v>
      </c>
      <c r="F386" s="6" t="n">
        <v>26561.23</v>
      </c>
      <c r="G386" s="7" t="n">
        <v>2264</v>
      </c>
      <c r="H386" s="8" t="n">
        <v>-0.8626</v>
      </c>
      <c r="I386" s="8" t="n">
        <v>-0.8632</v>
      </c>
      <c r="J386" s="7" t="n">
        <v>272</v>
      </c>
      <c r="K386" s="5" t="n">
        <v>17</v>
      </c>
      <c r="L386" s="5" t="n">
        <v>40</v>
      </c>
      <c r="M386" s="5" t="n">
        <v>2.8</v>
      </c>
      <c r="N386" s="9" t="s">
        <v>54</v>
      </c>
      <c r="O386" s="5"/>
      <c r="P386" s="5"/>
      <c r="Q386" s="5"/>
      <c r="R386" s="7"/>
      <c r="S386" s="7"/>
      <c r="T386" s="5"/>
      <c r="U386" s="6"/>
      <c r="V386" s="7"/>
      <c r="W386" s="5"/>
      <c r="X386" s="7"/>
      <c r="Y386" s="7"/>
      <c r="Z386" s="7"/>
      <c r="AA386" s="10"/>
      <c r="AB386" s="11"/>
      <c r="AC386" s="10"/>
      <c r="AD386" s="12"/>
      <c r="AE386" s="12"/>
      <c r="AF386" s="12"/>
      <c r="AG386" s="7"/>
      <c r="AH386" s="7"/>
      <c r="AI386" s="5" t="s">
        <v>1277</v>
      </c>
    </row>
    <row r="387" customFormat="false" ht="15" hidden="false" customHeight="false" outlineLevel="0" collapsed="false">
      <c r="A387" s="5" t="s">
        <v>1264</v>
      </c>
      <c r="B387" s="5" t="s">
        <v>1278</v>
      </c>
      <c r="C387" s="5"/>
      <c r="D387" s="5" t="s">
        <v>1264</v>
      </c>
      <c r="E387" s="5" t="s">
        <v>60</v>
      </c>
      <c r="F387" s="6" t="n">
        <v>24743.93</v>
      </c>
      <c r="G387" s="7" t="n">
        <v>1161</v>
      </c>
      <c r="H387" s="8" t="n">
        <v>0.0459</v>
      </c>
      <c r="I387" s="8" t="n">
        <v>-0.327</v>
      </c>
      <c r="J387" s="7" t="n">
        <v>70</v>
      </c>
      <c r="K387" s="5" t="n">
        <v>9</v>
      </c>
      <c r="L387" s="5" t="n">
        <v>59</v>
      </c>
      <c r="M387" s="5" t="n">
        <v>4.4</v>
      </c>
      <c r="N387" s="9" t="s">
        <v>54</v>
      </c>
      <c r="O387" s="5"/>
      <c r="P387" s="5"/>
      <c r="Q387" s="5"/>
      <c r="R387" s="7"/>
      <c r="S387" s="7"/>
      <c r="T387" s="5"/>
      <c r="U387" s="6"/>
      <c r="V387" s="7"/>
      <c r="W387" s="5"/>
      <c r="X387" s="7"/>
      <c r="Y387" s="7"/>
      <c r="Z387" s="7"/>
      <c r="AA387" s="10"/>
      <c r="AB387" s="11"/>
      <c r="AC387" s="10"/>
      <c r="AD387" s="12"/>
      <c r="AE387" s="12"/>
      <c r="AF387" s="12"/>
      <c r="AG387" s="7"/>
      <c r="AH387" s="7"/>
      <c r="AI387" s="5" t="s">
        <v>1279</v>
      </c>
    </row>
    <row r="388" customFormat="false" ht="15" hidden="false" customHeight="false" outlineLevel="0" collapsed="false">
      <c r="A388" s="5" t="s">
        <v>1264</v>
      </c>
      <c r="B388" s="5" t="s">
        <v>1280</v>
      </c>
      <c r="C388" s="5" t="s">
        <v>1281</v>
      </c>
      <c r="D388" s="5" t="s">
        <v>1264</v>
      </c>
      <c r="E388" s="5" t="s">
        <v>53</v>
      </c>
      <c r="F388" s="6" t="n">
        <v>24289.81</v>
      </c>
      <c r="G388" s="7" t="n">
        <v>2459</v>
      </c>
      <c r="H388" s="8" t="n">
        <v>-0.4138</v>
      </c>
      <c r="I388" s="8" t="n">
        <v>-0.4442</v>
      </c>
      <c r="J388" s="7" t="n">
        <v>875</v>
      </c>
      <c r="K388" s="5" t="n">
        <v>57</v>
      </c>
      <c r="L388" s="5" t="n">
        <v>572</v>
      </c>
      <c r="M388" s="5" t="n">
        <v>4.6</v>
      </c>
      <c r="N388" s="9" t="s">
        <v>54</v>
      </c>
      <c r="O388" s="5"/>
      <c r="P388" s="5"/>
      <c r="Q388" s="5"/>
      <c r="R388" s="7"/>
      <c r="S388" s="7"/>
      <c r="T388" s="5"/>
      <c r="U388" s="6"/>
      <c r="V388" s="7"/>
      <c r="W388" s="5"/>
      <c r="X388" s="7"/>
      <c r="Y388" s="7"/>
      <c r="Z388" s="7"/>
      <c r="AA388" s="10"/>
      <c r="AB388" s="11"/>
      <c r="AC388" s="10"/>
      <c r="AD388" s="12"/>
      <c r="AE388" s="12"/>
      <c r="AF388" s="12"/>
      <c r="AG388" s="7"/>
      <c r="AH388" s="7"/>
      <c r="AI388" s="5" t="s">
        <v>1282</v>
      </c>
    </row>
    <row r="389" customFormat="false" ht="15" hidden="false" customHeight="false" outlineLevel="0" collapsed="false">
      <c r="A389" s="5" t="s">
        <v>1264</v>
      </c>
      <c r="B389" s="5" t="s">
        <v>1283</v>
      </c>
      <c r="C389" s="5"/>
      <c r="D389" s="5" t="s">
        <v>1264</v>
      </c>
      <c r="E389" s="5" t="s">
        <v>60</v>
      </c>
      <c r="F389" s="6" t="n">
        <v>22296.06</v>
      </c>
      <c r="G389" s="7" t="n">
        <v>461</v>
      </c>
      <c r="H389" s="8" t="n">
        <v>20.6236</v>
      </c>
      <c r="I389" s="8" t="n">
        <v>9.7209</v>
      </c>
      <c r="J389" s="7" t="n">
        <v>107</v>
      </c>
      <c r="K389" s="5" t="n">
        <v>17</v>
      </c>
      <c r="L389" s="5" t="n">
        <v>93</v>
      </c>
      <c r="M389" s="5" t="n">
        <v>3.5</v>
      </c>
      <c r="N389" s="9" t="s">
        <v>54</v>
      </c>
      <c r="O389" s="5"/>
      <c r="P389" s="5"/>
      <c r="Q389" s="5"/>
      <c r="R389" s="7"/>
      <c r="S389" s="7"/>
      <c r="T389" s="5"/>
      <c r="U389" s="6"/>
      <c r="V389" s="7"/>
      <c r="W389" s="5"/>
      <c r="X389" s="7"/>
      <c r="Y389" s="7"/>
      <c r="Z389" s="7"/>
      <c r="AA389" s="10"/>
      <c r="AB389" s="11"/>
      <c r="AC389" s="10"/>
      <c r="AD389" s="12"/>
      <c r="AE389" s="12"/>
      <c r="AF389" s="12"/>
      <c r="AG389" s="7"/>
      <c r="AH389" s="7"/>
      <c r="AI389" s="5" t="s">
        <v>1284</v>
      </c>
    </row>
    <row r="390" customFormat="false" ht="15" hidden="false" customHeight="false" outlineLevel="0" collapsed="false">
      <c r="A390" s="5" t="s">
        <v>1264</v>
      </c>
      <c r="B390" s="5" t="s">
        <v>1285</v>
      </c>
      <c r="C390" s="5" t="s">
        <v>1286</v>
      </c>
      <c r="D390" s="5" t="s">
        <v>1264</v>
      </c>
      <c r="E390" s="5" t="s">
        <v>53</v>
      </c>
      <c r="F390" s="6" t="n">
        <v>21597.35</v>
      </c>
      <c r="G390" s="7" t="n">
        <v>2997</v>
      </c>
      <c r="H390" s="8" t="n">
        <v>-0.1131</v>
      </c>
      <c r="I390" s="8" t="n">
        <v>-0.2173</v>
      </c>
      <c r="J390" s="7" t="n">
        <v>754</v>
      </c>
      <c r="K390" s="5" t="n">
        <v>115</v>
      </c>
      <c r="L390" s="5" t="n">
        <v>330</v>
      </c>
      <c r="M390" s="5" t="n">
        <v>4.8</v>
      </c>
      <c r="N390" s="9" t="s">
        <v>54</v>
      </c>
      <c r="O390" s="5"/>
      <c r="P390" s="5"/>
      <c r="Q390" s="5"/>
      <c r="R390" s="7"/>
      <c r="S390" s="7"/>
      <c r="T390" s="5"/>
      <c r="U390" s="6"/>
      <c r="V390" s="7"/>
      <c r="W390" s="5"/>
      <c r="X390" s="7"/>
      <c r="Y390" s="7"/>
      <c r="Z390" s="7"/>
      <c r="AA390" s="10"/>
      <c r="AB390" s="11"/>
      <c r="AC390" s="10"/>
      <c r="AD390" s="12"/>
      <c r="AE390" s="12"/>
      <c r="AF390" s="12"/>
      <c r="AG390" s="7"/>
      <c r="AH390" s="7"/>
      <c r="AI390" s="5" t="s">
        <v>1287</v>
      </c>
    </row>
    <row r="391" customFormat="false" ht="15" hidden="false" customHeight="false" outlineLevel="0" collapsed="false">
      <c r="A391" s="5" t="s">
        <v>1264</v>
      </c>
      <c r="B391" s="5" t="s">
        <v>1288</v>
      </c>
      <c r="C391" s="5" t="s">
        <v>1289</v>
      </c>
      <c r="D391" s="5" t="s">
        <v>1264</v>
      </c>
      <c r="E391" s="5" t="s">
        <v>53</v>
      </c>
      <c r="F391" s="6" t="n">
        <v>20376.61</v>
      </c>
      <c r="G391" s="7" t="n">
        <v>1274</v>
      </c>
      <c r="H391" s="8" t="n">
        <v>-0.0032</v>
      </c>
      <c r="I391" s="8" t="n">
        <v>-0.1591</v>
      </c>
      <c r="J391" s="7" t="n">
        <v>483</v>
      </c>
      <c r="K391" s="5" t="n">
        <v>47</v>
      </c>
      <c r="L391" s="5" t="n">
        <v>1829</v>
      </c>
      <c r="M391" s="5" t="n">
        <v>3.1</v>
      </c>
      <c r="N391" s="9" t="s">
        <v>54</v>
      </c>
      <c r="O391" s="5"/>
      <c r="P391" s="5"/>
      <c r="Q391" s="5"/>
      <c r="R391" s="7"/>
      <c r="S391" s="7"/>
      <c r="T391" s="5"/>
      <c r="U391" s="6"/>
      <c r="V391" s="7"/>
      <c r="W391" s="5"/>
      <c r="X391" s="7"/>
      <c r="Y391" s="7"/>
      <c r="Z391" s="7"/>
      <c r="AA391" s="10"/>
      <c r="AB391" s="11"/>
      <c r="AC391" s="10"/>
      <c r="AD391" s="12"/>
      <c r="AE391" s="12"/>
      <c r="AF391" s="12"/>
      <c r="AG391" s="7"/>
      <c r="AH391" s="7"/>
      <c r="AI391" s="5" t="s">
        <v>1290</v>
      </c>
    </row>
    <row r="392" customFormat="false" ht="15" hidden="false" customHeight="false" outlineLevel="0" collapsed="false">
      <c r="A392" s="5" t="s">
        <v>1264</v>
      </c>
      <c r="B392" s="5" t="s">
        <v>1291</v>
      </c>
      <c r="C392" s="5" t="s">
        <v>1292</v>
      </c>
      <c r="D392" s="5" t="s">
        <v>1264</v>
      </c>
      <c r="E392" s="5" t="s">
        <v>53</v>
      </c>
      <c r="F392" s="6" t="n">
        <v>20363.69</v>
      </c>
      <c r="G392" s="7" t="n">
        <v>1570</v>
      </c>
      <c r="H392" s="8" t="n">
        <v>-0.3448</v>
      </c>
      <c r="I392" s="8" t="n">
        <v>-0.3752</v>
      </c>
      <c r="J392" s="7" t="n">
        <v>582</v>
      </c>
      <c r="K392" s="5" t="n">
        <v>200</v>
      </c>
      <c r="L392" s="5" t="n">
        <v>2517</v>
      </c>
      <c r="M392" s="5" t="n">
        <v>3.2</v>
      </c>
      <c r="N392" s="9" t="s">
        <v>54</v>
      </c>
      <c r="O392" s="5"/>
      <c r="P392" s="5"/>
      <c r="Q392" s="5"/>
      <c r="R392" s="7"/>
      <c r="S392" s="7"/>
      <c r="T392" s="5"/>
      <c r="U392" s="6"/>
      <c r="V392" s="7"/>
      <c r="W392" s="5"/>
      <c r="X392" s="7"/>
      <c r="Y392" s="7"/>
      <c r="Z392" s="7"/>
      <c r="AA392" s="10"/>
      <c r="AB392" s="11"/>
      <c r="AC392" s="10"/>
      <c r="AD392" s="12"/>
      <c r="AE392" s="12"/>
      <c r="AF392" s="12"/>
      <c r="AG392" s="7"/>
      <c r="AH392" s="7"/>
      <c r="AI392" s="5" t="s">
        <v>1293</v>
      </c>
    </row>
    <row r="393" customFormat="false" ht="15" hidden="false" customHeight="false" outlineLevel="0" collapsed="false">
      <c r="A393" s="5" t="s">
        <v>1264</v>
      </c>
      <c r="B393" s="5" t="s">
        <v>1294</v>
      </c>
      <c r="C393" s="5" t="s">
        <v>1295</v>
      </c>
      <c r="D393" s="5" t="s">
        <v>59</v>
      </c>
      <c r="E393" s="5" t="s">
        <v>60</v>
      </c>
      <c r="F393" s="6" t="n">
        <v>20125.8</v>
      </c>
      <c r="G393" s="7" t="n">
        <v>1000</v>
      </c>
      <c r="H393" s="8" t="n">
        <v>0.4339</v>
      </c>
      <c r="I393" s="8" t="n">
        <v>0.4327</v>
      </c>
      <c r="J393" s="7" t="n">
        <v>176</v>
      </c>
      <c r="K393" s="5" t="n">
        <v>55</v>
      </c>
      <c r="L393" s="5" t="n">
        <v>1102</v>
      </c>
      <c r="M393" s="5" t="n">
        <v>4.5</v>
      </c>
      <c r="N393" s="13" t="s">
        <v>61</v>
      </c>
      <c r="O393" s="5"/>
      <c r="P393" s="5"/>
      <c r="Q393" s="5"/>
      <c r="R393" s="7"/>
      <c r="S393" s="7"/>
      <c r="T393" s="5"/>
      <c r="U393" s="6"/>
      <c r="V393" s="7"/>
      <c r="W393" s="5"/>
      <c r="X393" s="7"/>
      <c r="Y393" s="7"/>
      <c r="Z393" s="7"/>
      <c r="AA393" s="10"/>
      <c r="AB393" s="11"/>
      <c r="AC393" s="10"/>
      <c r="AD393" s="12"/>
      <c r="AE393" s="12"/>
      <c r="AF393" s="12"/>
      <c r="AG393" s="7"/>
      <c r="AH393" s="7"/>
      <c r="AI393" s="5" t="s">
        <v>1296</v>
      </c>
    </row>
    <row r="394" customFormat="false" ht="15" hidden="false" customHeight="false" outlineLevel="0" collapsed="false">
      <c r="A394" s="5" t="s">
        <v>1264</v>
      </c>
      <c r="B394" s="5" t="s">
        <v>1297</v>
      </c>
      <c r="C394" s="5"/>
      <c r="D394" s="5" t="s">
        <v>1264</v>
      </c>
      <c r="E394" s="5" t="s">
        <v>60</v>
      </c>
      <c r="F394" s="6" t="n">
        <v>19955.96</v>
      </c>
      <c r="G394" s="7" t="n">
        <v>316</v>
      </c>
      <c r="H394" s="8" t="n">
        <v>0.3906</v>
      </c>
      <c r="I394" s="8" t="n">
        <v>0.1747</v>
      </c>
      <c r="J394" s="7" t="n">
        <v>58</v>
      </c>
      <c r="K394" s="5" t="n">
        <v>7</v>
      </c>
      <c r="L394" s="5" t="n">
        <v>12</v>
      </c>
      <c r="M394" s="5" t="n">
        <v>4.2</v>
      </c>
      <c r="N394" s="9" t="s">
        <v>54</v>
      </c>
      <c r="O394" s="5"/>
      <c r="P394" s="5"/>
      <c r="Q394" s="5"/>
      <c r="R394" s="7"/>
      <c r="S394" s="7"/>
      <c r="T394" s="5"/>
      <c r="U394" s="6"/>
      <c r="V394" s="7"/>
      <c r="W394" s="5"/>
      <c r="X394" s="7"/>
      <c r="Y394" s="7"/>
      <c r="Z394" s="7"/>
      <c r="AA394" s="10"/>
      <c r="AB394" s="11"/>
      <c r="AC394" s="10"/>
      <c r="AD394" s="12"/>
      <c r="AE394" s="12"/>
      <c r="AF394" s="12"/>
      <c r="AG394" s="7"/>
      <c r="AH394" s="7"/>
      <c r="AI394" s="5" t="s">
        <v>1298</v>
      </c>
    </row>
    <row r="395" customFormat="false" ht="15" hidden="false" customHeight="false" outlineLevel="0" collapsed="false">
      <c r="A395" s="5" t="s">
        <v>1264</v>
      </c>
      <c r="B395" s="5" t="s">
        <v>1299</v>
      </c>
      <c r="C395" s="5" t="s">
        <v>1300</v>
      </c>
      <c r="D395" s="5" t="s">
        <v>1264</v>
      </c>
      <c r="E395" s="5" t="s">
        <v>60</v>
      </c>
      <c r="F395" s="6" t="n">
        <v>19589.62</v>
      </c>
      <c r="G395" s="7" t="n">
        <v>350</v>
      </c>
      <c r="H395" s="8" t="n">
        <v>0.2204</v>
      </c>
      <c r="I395" s="8" t="n">
        <v>0.1006</v>
      </c>
      <c r="J395" s="7" t="n">
        <v>150</v>
      </c>
      <c r="K395" s="5" t="n">
        <v>43</v>
      </c>
      <c r="L395" s="5" t="n">
        <v>156</v>
      </c>
      <c r="M395" s="5" t="n">
        <v>4</v>
      </c>
      <c r="N395" s="9" t="s">
        <v>54</v>
      </c>
      <c r="O395" s="5"/>
      <c r="P395" s="5"/>
      <c r="Q395" s="5"/>
      <c r="R395" s="7"/>
      <c r="S395" s="7"/>
      <c r="T395" s="5"/>
      <c r="U395" s="6"/>
      <c r="V395" s="7"/>
      <c r="W395" s="5"/>
      <c r="X395" s="7"/>
      <c r="Y395" s="7"/>
      <c r="Z395" s="7"/>
      <c r="AA395" s="10"/>
      <c r="AB395" s="11"/>
      <c r="AC395" s="10"/>
      <c r="AD395" s="12"/>
      <c r="AE395" s="12"/>
      <c r="AF395" s="12"/>
      <c r="AG395" s="7"/>
      <c r="AH395" s="7"/>
      <c r="AI395" s="5" t="s">
        <v>1301</v>
      </c>
    </row>
    <row r="396" customFormat="false" ht="15" hidden="false" customHeight="false" outlineLevel="0" collapsed="false">
      <c r="A396" s="5" t="s">
        <v>1264</v>
      </c>
      <c r="B396" s="5" t="s">
        <v>1302</v>
      </c>
      <c r="C396" s="5" t="s">
        <v>1303</v>
      </c>
      <c r="D396" s="5" t="s">
        <v>1264</v>
      </c>
      <c r="E396" s="5" t="s">
        <v>53</v>
      </c>
      <c r="F396" s="6" t="n">
        <v>19164.3</v>
      </c>
      <c r="G396" s="7" t="n">
        <v>1624</v>
      </c>
      <c r="H396" s="8" t="n">
        <v>-0.2458</v>
      </c>
      <c r="I396" s="8" t="n">
        <v>-0.3015</v>
      </c>
      <c r="J396" s="7" t="n">
        <v>344</v>
      </c>
      <c r="K396" s="5" t="n">
        <v>87</v>
      </c>
      <c r="L396" s="5" t="n">
        <v>336</v>
      </c>
      <c r="M396" s="5" t="n">
        <v>4.4</v>
      </c>
      <c r="N396" s="9" t="s">
        <v>54</v>
      </c>
      <c r="O396" s="5"/>
      <c r="P396" s="5"/>
      <c r="Q396" s="5"/>
      <c r="R396" s="7"/>
      <c r="S396" s="7"/>
      <c r="T396" s="5"/>
      <c r="U396" s="6"/>
      <c r="V396" s="7"/>
      <c r="W396" s="5"/>
      <c r="X396" s="7"/>
      <c r="Y396" s="7"/>
      <c r="Z396" s="7"/>
      <c r="AA396" s="10"/>
      <c r="AB396" s="11"/>
      <c r="AC396" s="10"/>
      <c r="AD396" s="12"/>
      <c r="AE396" s="12"/>
      <c r="AF396" s="12"/>
      <c r="AG396" s="7"/>
      <c r="AH396" s="7"/>
      <c r="AI396" s="5" t="s">
        <v>1304</v>
      </c>
    </row>
    <row r="397" customFormat="false" ht="15" hidden="false" customHeight="false" outlineLevel="0" collapsed="false">
      <c r="A397" s="5" t="s">
        <v>1264</v>
      </c>
      <c r="B397" s="5" t="s">
        <v>1305</v>
      </c>
      <c r="C397" s="5"/>
      <c r="D397" s="5" t="s">
        <v>1264</v>
      </c>
      <c r="E397" s="5" t="s">
        <v>53</v>
      </c>
      <c r="F397" s="6" t="n">
        <v>19100.81</v>
      </c>
      <c r="G397" s="7" t="n">
        <v>1084</v>
      </c>
      <c r="H397" s="8" t="n">
        <v>0.4607</v>
      </c>
      <c r="I397" s="8" t="n">
        <v>0.4263</v>
      </c>
      <c r="J397" s="7" t="n">
        <v>490</v>
      </c>
      <c r="K397" s="5" t="n">
        <v>67</v>
      </c>
      <c r="L397" s="5" t="n">
        <v>558</v>
      </c>
      <c r="M397" s="5" t="n">
        <v>3.9</v>
      </c>
      <c r="N397" s="9" t="s">
        <v>54</v>
      </c>
      <c r="O397" s="5"/>
      <c r="P397" s="5"/>
      <c r="Q397" s="5"/>
      <c r="R397" s="7"/>
      <c r="S397" s="7"/>
      <c r="T397" s="5"/>
      <c r="U397" s="6"/>
      <c r="V397" s="7"/>
      <c r="W397" s="5"/>
      <c r="X397" s="7"/>
      <c r="Y397" s="7"/>
      <c r="Z397" s="7"/>
      <c r="AA397" s="10"/>
      <c r="AB397" s="11"/>
      <c r="AC397" s="10"/>
      <c r="AD397" s="12"/>
      <c r="AE397" s="12"/>
      <c r="AF397" s="12"/>
      <c r="AG397" s="7"/>
      <c r="AH397" s="7"/>
      <c r="AI397" s="5" t="s">
        <v>1306</v>
      </c>
    </row>
    <row r="398" customFormat="false" ht="15" hidden="false" customHeight="false" outlineLevel="0" collapsed="false">
      <c r="A398" s="5" t="s">
        <v>1264</v>
      </c>
      <c r="B398" s="5" t="s">
        <v>1307</v>
      </c>
      <c r="C398" s="5"/>
      <c r="D398" s="5" t="s">
        <v>730</v>
      </c>
      <c r="E398" s="5" t="s">
        <v>53</v>
      </c>
      <c r="F398" s="6" t="n">
        <v>18067.75</v>
      </c>
      <c r="G398" s="7" t="n">
        <v>823</v>
      </c>
      <c r="H398" s="8" t="n">
        <v>2.1818</v>
      </c>
      <c r="I398" s="8" t="n">
        <v>1.9498</v>
      </c>
      <c r="J398" s="7" t="n">
        <v>35</v>
      </c>
      <c r="K398" s="5" t="n">
        <v>4</v>
      </c>
      <c r="L398" s="5" t="n">
        <v>85</v>
      </c>
      <c r="M398" s="5" t="n">
        <v>3.5</v>
      </c>
      <c r="N398" s="13" t="s">
        <v>61</v>
      </c>
      <c r="O398" s="5"/>
      <c r="P398" s="5"/>
      <c r="Q398" s="5"/>
      <c r="R398" s="7"/>
      <c r="S398" s="7"/>
      <c r="T398" s="5"/>
      <c r="U398" s="6"/>
      <c r="V398" s="7"/>
      <c r="W398" s="5"/>
      <c r="X398" s="7"/>
      <c r="Y398" s="7"/>
      <c r="Z398" s="7"/>
      <c r="AA398" s="10"/>
      <c r="AB398" s="11"/>
      <c r="AC398" s="10"/>
      <c r="AD398" s="12"/>
      <c r="AE398" s="12"/>
      <c r="AF398" s="12"/>
      <c r="AG398" s="7"/>
      <c r="AH398" s="7"/>
      <c r="AI398" s="5" t="s">
        <v>1308</v>
      </c>
    </row>
    <row r="399" customFormat="false" ht="15" hidden="false" customHeight="false" outlineLevel="0" collapsed="false">
      <c r="A399" s="5" t="s">
        <v>1264</v>
      </c>
      <c r="B399" s="5" t="s">
        <v>1309</v>
      </c>
      <c r="C399" s="5"/>
      <c r="D399" s="5" t="s">
        <v>1264</v>
      </c>
      <c r="E399" s="5" t="s">
        <v>53</v>
      </c>
      <c r="F399" s="6" t="n">
        <v>17550.6</v>
      </c>
      <c r="G399" s="7" t="n">
        <v>605</v>
      </c>
      <c r="H399" s="8" t="n">
        <v>0.459</v>
      </c>
      <c r="I399" s="8" t="n">
        <v>0.21</v>
      </c>
      <c r="J399" s="7" t="n">
        <v>132</v>
      </c>
      <c r="K399" s="5" t="n">
        <v>10</v>
      </c>
      <c r="L399" s="5" t="n">
        <v>11</v>
      </c>
      <c r="M399" s="5" t="n">
        <v>4.6</v>
      </c>
      <c r="N399" s="9" t="s">
        <v>54</v>
      </c>
      <c r="O399" s="5"/>
      <c r="P399" s="5"/>
      <c r="Q399" s="5"/>
      <c r="R399" s="7"/>
      <c r="S399" s="7"/>
      <c r="T399" s="5"/>
      <c r="U399" s="6"/>
      <c r="V399" s="7"/>
      <c r="W399" s="5"/>
      <c r="X399" s="7"/>
      <c r="Y399" s="7"/>
      <c r="Z399" s="7"/>
      <c r="AA399" s="10"/>
      <c r="AB399" s="11"/>
      <c r="AC399" s="10"/>
      <c r="AD399" s="12"/>
      <c r="AE399" s="12"/>
      <c r="AF399" s="12"/>
      <c r="AG399" s="7"/>
      <c r="AH399" s="7"/>
      <c r="AI399" s="5" t="s">
        <v>1310</v>
      </c>
    </row>
    <row r="400" customFormat="false" ht="15" hidden="false" customHeight="false" outlineLevel="0" collapsed="false">
      <c r="A400" s="5" t="s">
        <v>1264</v>
      </c>
      <c r="B400" s="5" t="s">
        <v>1311</v>
      </c>
      <c r="C400" s="5"/>
      <c r="D400" s="5" t="s">
        <v>1264</v>
      </c>
      <c r="E400" s="5" t="s">
        <v>53</v>
      </c>
      <c r="F400" s="6" t="n">
        <v>17399.49</v>
      </c>
      <c r="G400" s="7" t="n">
        <v>2356</v>
      </c>
      <c r="H400" s="8" t="n">
        <v>-0.3571</v>
      </c>
      <c r="I400" s="8" t="n">
        <v>-0.4764</v>
      </c>
      <c r="J400" s="7" t="n">
        <v>193</v>
      </c>
      <c r="K400" s="5" t="n">
        <v>9</v>
      </c>
      <c r="L400" s="5" t="n">
        <v>38</v>
      </c>
      <c r="M400" s="5" t="n">
        <v>4.9</v>
      </c>
      <c r="N400" s="9" t="s">
        <v>54</v>
      </c>
      <c r="O400" s="5"/>
      <c r="P400" s="5"/>
      <c r="Q400" s="5"/>
      <c r="R400" s="7"/>
      <c r="S400" s="7"/>
      <c r="T400" s="5"/>
      <c r="U400" s="6"/>
      <c r="V400" s="7"/>
      <c r="W400" s="5"/>
      <c r="X400" s="7"/>
      <c r="Y400" s="7"/>
      <c r="Z400" s="7"/>
      <c r="AA400" s="10"/>
      <c r="AB400" s="11"/>
      <c r="AC400" s="10"/>
      <c r="AD400" s="12"/>
      <c r="AE400" s="12"/>
      <c r="AF400" s="12"/>
      <c r="AG400" s="7"/>
      <c r="AH400" s="7"/>
      <c r="AI400" s="5" t="s">
        <v>1312</v>
      </c>
    </row>
    <row r="401" customFormat="false" ht="15" hidden="false" customHeight="false" outlineLevel="0" collapsed="false">
      <c r="A401" s="5" t="s">
        <v>1264</v>
      </c>
      <c r="B401" s="5" t="s">
        <v>1313</v>
      </c>
      <c r="C401" s="5" t="s">
        <v>1313</v>
      </c>
      <c r="D401" s="5" t="s">
        <v>83</v>
      </c>
      <c r="E401" s="5" t="s">
        <v>60</v>
      </c>
      <c r="F401" s="6" t="n">
        <v>17350.3</v>
      </c>
      <c r="G401" s="7" t="n">
        <v>760</v>
      </c>
      <c r="H401" s="8" t="n">
        <v>-0.3749</v>
      </c>
      <c r="I401" s="8" t="n">
        <v>-0.4579</v>
      </c>
      <c r="J401" s="7" t="n">
        <v>120</v>
      </c>
      <c r="K401" s="5" t="n">
        <v>6</v>
      </c>
      <c r="L401" s="5" t="n">
        <v>74</v>
      </c>
      <c r="M401" s="5" t="n">
        <v>4.4</v>
      </c>
      <c r="N401" s="13" t="s">
        <v>61</v>
      </c>
      <c r="O401" s="5"/>
      <c r="P401" s="5"/>
      <c r="Q401" s="5"/>
      <c r="R401" s="7"/>
      <c r="S401" s="7"/>
      <c r="T401" s="5"/>
      <c r="U401" s="6"/>
      <c r="V401" s="7"/>
      <c r="W401" s="5"/>
      <c r="X401" s="7"/>
      <c r="Y401" s="7"/>
      <c r="Z401" s="7"/>
      <c r="AA401" s="10"/>
      <c r="AB401" s="11"/>
      <c r="AC401" s="10"/>
      <c r="AD401" s="12"/>
      <c r="AE401" s="12"/>
      <c r="AF401" s="12"/>
      <c r="AG401" s="7"/>
      <c r="AH401" s="7"/>
      <c r="AI401" s="5" t="s">
        <v>1314</v>
      </c>
    </row>
    <row r="402" customFormat="false" ht="15" hidden="false" customHeight="false" outlineLevel="0" collapsed="false">
      <c r="A402" s="5" t="s">
        <v>1264</v>
      </c>
      <c r="B402" s="5" t="s">
        <v>1315</v>
      </c>
      <c r="C402" s="5"/>
      <c r="D402" s="5" t="s">
        <v>1264</v>
      </c>
      <c r="E402" s="5" t="s">
        <v>53</v>
      </c>
      <c r="F402" s="6" t="n">
        <v>16377.68</v>
      </c>
      <c r="G402" s="7" t="n">
        <v>1714</v>
      </c>
      <c r="H402" s="8" t="n">
        <v>-0.1851</v>
      </c>
      <c r="I402" s="8" t="n">
        <v>-0.2831</v>
      </c>
      <c r="J402" s="7" t="n">
        <v>379</v>
      </c>
      <c r="K402" s="5" t="n">
        <v>54</v>
      </c>
      <c r="L402" s="5" t="n">
        <v>663</v>
      </c>
      <c r="M402" s="5" t="n">
        <v>3.7</v>
      </c>
      <c r="N402" s="9" t="s">
        <v>54</v>
      </c>
      <c r="O402" s="5"/>
      <c r="P402" s="5"/>
      <c r="Q402" s="5"/>
      <c r="R402" s="7"/>
      <c r="S402" s="7"/>
      <c r="T402" s="5"/>
      <c r="U402" s="6"/>
      <c r="V402" s="7"/>
      <c r="W402" s="5"/>
      <c r="X402" s="7"/>
      <c r="Y402" s="7"/>
      <c r="Z402" s="7"/>
      <c r="AA402" s="10"/>
      <c r="AB402" s="11"/>
      <c r="AC402" s="10"/>
      <c r="AD402" s="12"/>
      <c r="AE402" s="12"/>
      <c r="AF402" s="12"/>
      <c r="AG402" s="7"/>
      <c r="AH402" s="7"/>
      <c r="AI402" s="5" t="s">
        <v>1316</v>
      </c>
    </row>
    <row r="403" customFormat="false" ht="15" hidden="false" customHeight="false" outlineLevel="0" collapsed="false">
      <c r="A403" s="5" t="s">
        <v>1264</v>
      </c>
      <c r="B403" s="5" t="s">
        <v>1317</v>
      </c>
      <c r="C403" s="5" t="s">
        <v>1318</v>
      </c>
      <c r="D403" s="5" t="s">
        <v>1264</v>
      </c>
      <c r="E403" s="5" t="s">
        <v>60</v>
      </c>
      <c r="F403" s="6" t="n">
        <v>14461</v>
      </c>
      <c r="G403" s="7" t="n">
        <v>250</v>
      </c>
      <c r="H403" s="8" t="n">
        <v>-0.5033</v>
      </c>
      <c r="I403" s="8" t="n">
        <v>-0.5798</v>
      </c>
      <c r="J403" s="7" t="n">
        <v>84</v>
      </c>
      <c r="K403" s="5" t="n">
        <v>2</v>
      </c>
      <c r="L403" s="5" t="n">
        <v>138</v>
      </c>
      <c r="M403" s="5" t="n">
        <v>3.9</v>
      </c>
      <c r="N403" s="9" t="s">
        <v>54</v>
      </c>
      <c r="O403" s="5"/>
      <c r="P403" s="5"/>
      <c r="Q403" s="5"/>
      <c r="R403" s="7"/>
      <c r="S403" s="7"/>
      <c r="T403" s="5"/>
      <c r="U403" s="6"/>
      <c r="V403" s="7"/>
      <c r="W403" s="5"/>
      <c r="X403" s="7"/>
      <c r="Y403" s="7"/>
      <c r="Z403" s="7"/>
      <c r="AA403" s="10"/>
      <c r="AB403" s="11"/>
      <c r="AC403" s="10"/>
      <c r="AD403" s="12"/>
      <c r="AE403" s="12"/>
      <c r="AF403" s="12"/>
      <c r="AG403" s="7"/>
      <c r="AH403" s="7"/>
      <c r="AI403" s="5" t="s">
        <v>1319</v>
      </c>
    </row>
    <row r="404" customFormat="false" ht="15" hidden="false" customHeight="false" outlineLevel="0" collapsed="false">
      <c r="A404" s="5" t="s">
        <v>1264</v>
      </c>
      <c r="B404" s="5" t="s">
        <v>1320</v>
      </c>
      <c r="C404" s="5" t="s">
        <v>1321</v>
      </c>
      <c r="D404" s="5" t="s">
        <v>1264</v>
      </c>
      <c r="E404" s="5" t="s">
        <v>60</v>
      </c>
      <c r="F404" s="6" t="n">
        <v>14180.5</v>
      </c>
      <c r="G404" s="7" t="n">
        <v>528</v>
      </c>
      <c r="H404" s="8" t="n">
        <v>-0.529</v>
      </c>
      <c r="I404" s="8" t="n">
        <v>-0.6051</v>
      </c>
      <c r="J404" s="7" t="n">
        <v>1271</v>
      </c>
      <c r="K404" s="5" t="n">
        <v>58</v>
      </c>
      <c r="L404" s="5" t="n">
        <v>107</v>
      </c>
      <c r="M404" s="5" t="n">
        <v>4.7</v>
      </c>
      <c r="N404" s="9" t="s">
        <v>54</v>
      </c>
      <c r="O404" s="5"/>
      <c r="P404" s="5" t="s">
        <v>1322</v>
      </c>
      <c r="Q404" s="14" t="s">
        <v>1323</v>
      </c>
      <c r="R404" s="7" t="n">
        <v>23454</v>
      </c>
      <c r="S404" s="7" t="n">
        <v>2113</v>
      </c>
      <c r="T404" s="5" t="s">
        <v>1324</v>
      </c>
      <c r="U404" s="6" t="n">
        <v>1023658.74</v>
      </c>
      <c r="V404" s="7" t="n">
        <v>61830</v>
      </c>
      <c r="W404" s="5" t="n">
        <v>760</v>
      </c>
      <c r="X404" s="7" t="n">
        <v>363</v>
      </c>
      <c r="Y404" s="7" t="n">
        <v>1308</v>
      </c>
      <c r="Z404" s="7" t="n">
        <v>748</v>
      </c>
      <c r="AA404" s="10" t="n">
        <v>1</v>
      </c>
      <c r="AB404" s="11" t="n">
        <v>60</v>
      </c>
      <c r="AC404" s="10" t="n">
        <v>17.28</v>
      </c>
      <c r="AD404" s="12" t="n">
        <v>0.74</v>
      </c>
      <c r="AE404" s="12" t="n">
        <v>0.99</v>
      </c>
      <c r="AF404" s="12" t="n">
        <v>0.97</v>
      </c>
      <c r="AG404" s="7" t="n">
        <v>39</v>
      </c>
      <c r="AH404" s="7" t="n">
        <v>2728</v>
      </c>
      <c r="AI404" s="5" t="s">
        <v>1325</v>
      </c>
    </row>
    <row r="405" customFormat="false" ht="15" hidden="false" customHeight="false" outlineLevel="0" collapsed="false">
      <c r="A405" s="5" t="s">
        <v>1264</v>
      </c>
      <c r="B405" s="5" t="s">
        <v>1326</v>
      </c>
      <c r="C405" s="5" t="s">
        <v>1327</v>
      </c>
      <c r="D405" s="5" t="s">
        <v>1264</v>
      </c>
      <c r="E405" s="5" t="s">
        <v>53</v>
      </c>
      <c r="F405" s="6" t="n">
        <v>14078.9</v>
      </c>
      <c r="G405" s="7" t="n">
        <v>1318</v>
      </c>
      <c r="H405" s="8" t="n">
        <v>0.3985</v>
      </c>
      <c r="I405" s="8" t="n">
        <v>0.2387</v>
      </c>
      <c r="J405" s="7" t="n">
        <v>281</v>
      </c>
      <c r="K405" s="5" t="n">
        <v>38</v>
      </c>
      <c r="L405" s="5" t="n">
        <v>173</v>
      </c>
      <c r="M405" s="5" t="n">
        <v>4.1</v>
      </c>
      <c r="N405" s="9" t="s">
        <v>54</v>
      </c>
      <c r="O405" s="5"/>
      <c r="P405" s="5"/>
      <c r="Q405" s="5"/>
      <c r="R405" s="7"/>
      <c r="S405" s="7"/>
      <c r="T405" s="5"/>
      <c r="U405" s="6"/>
      <c r="V405" s="7"/>
      <c r="W405" s="5"/>
      <c r="X405" s="7"/>
      <c r="Y405" s="7"/>
      <c r="Z405" s="7"/>
      <c r="AA405" s="10"/>
      <c r="AB405" s="11"/>
      <c r="AC405" s="10"/>
      <c r="AD405" s="12"/>
      <c r="AE405" s="12"/>
      <c r="AF405" s="12"/>
      <c r="AG405" s="7"/>
      <c r="AH405" s="7"/>
      <c r="AI405" s="5" t="s">
        <v>1328</v>
      </c>
    </row>
    <row r="406" customFormat="false" ht="15" hidden="false" customHeight="false" outlineLevel="0" collapsed="false">
      <c r="A406" s="5" t="s">
        <v>1264</v>
      </c>
      <c r="B406" s="5" t="s">
        <v>1329</v>
      </c>
      <c r="C406" s="5" t="s">
        <v>1330</v>
      </c>
      <c r="D406" s="5" t="s">
        <v>1264</v>
      </c>
      <c r="E406" s="5" t="s">
        <v>60</v>
      </c>
      <c r="F406" s="6" t="n">
        <v>14008.8</v>
      </c>
      <c r="G406" s="7" t="n">
        <v>778</v>
      </c>
      <c r="H406" s="8" t="n">
        <v>-0.1361</v>
      </c>
      <c r="I406" s="8" t="n">
        <v>-0.2947</v>
      </c>
      <c r="J406" s="7" t="n">
        <v>1192</v>
      </c>
      <c r="K406" s="5" t="n">
        <v>19</v>
      </c>
      <c r="L406" s="5" t="n">
        <v>65</v>
      </c>
      <c r="M406" s="5" t="n">
        <v>4.6</v>
      </c>
      <c r="N406" s="9" t="s">
        <v>54</v>
      </c>
      <c r="O406" s="5"/>
      <c r="P406" s="5"/>
      <c r="Q406" s="5"/>
      <c r="R406" s="7"/>
      <c r="S406" s="7"/>
      <c r="T406" s="5"/>
      <c r="U406" s="6"/>
      <c r="V406" s="7"/>
      <c r="W406" s="5"/>
      <c r="X406" s="7"/>
      <c r="Y406" s="7"/>
      <c r="Z406" s="7"/>
      <c r="AA406" s="10"/>
      <c r="AB406" s="11"/>
      <c r="AC406" s="10"/>
      <c r="AD406" s="12"/>
      <c r="AE406" s="12"/>
      <c r="AF406" s="12"/>
      <c r="AG406" s="7"/>
      <c r="AH406" s="7"/>
      <c r="AI406" s="5" t="s">
        <v>1331</v>
      </c>
    </row>
    <row r="407" customFormat="false" ht="15" hidden="false" customHeight="false" outlineLevel="0" collapsed="false">
      <c r="A407" s="5" t="s">
        <v>1264</v>
      </c>
      <c r="B407" s="5" t="s">
        <v>1332</v>
      </c>
      <c r="C407" s="5" t="s">
        <v>1332</v>
      </c>
      <c r="D407" s="5" t="s">
        <v>1264</v>
      </c>
      <c r="E407" s="5" t="s">
        <v>60</v>
      </c>
      <c r="F407" s="6" t="n">
        <v>13988.22</v>
      </c>
      <c r="G407" s="7" t="n">
        <v>479</v>
      </c>
      <c r="H407" s="8" t="n">
        <v>-0.2765</v>
      </c>
      <c r="I407" s="8" t="n">
        <v>-0.3827</v>
      </c>
      <c r="J407" s="7" t="n">
        <v>34</v>
      </c>
      <c r="K407" s="5" t="n">
        <v>22</v>
      </c>
      <c r="L407" s="5" t="n">
        <v>77</v>
      </c>
      <c r="M407" s="5" t="n">
        <v>4.1</v>
      </c>
      <c r="N407" s="9" t="s">
        <v>54</v>
      </c>
      <c r="O407" s="5"/>
      <c r="P407" s="5"/>
      <c r="Q407" s="5"/>
      <c r="R407" s="7"/>
      <c r="S407" s="7"/>
      <c r="T407" s="5"/>
      <c r="U407" s="6"/>
      <c r="V407" s="7"/>
      <c r="W407" s="5"/>
      <c r="X407" s="7"/>
      <c r="Y407" s="7"/>
      <c r="Z407" s="7"/>
      <c r="AA407" s="10"/>
      <c r="AB407" s="11"/>
      <c r="AC407" s="10"/>
      <c r="AD407" s="12"/>
      <c r="AE407" s="12"/>
      <c r="AF407" s="12"/>
      <c r="AG407" s="7"/>
      <c r="AH407" s="7"/>
      <c r="AI407" s="5" t="s">
        <v>1333</v>
      </c>
    </row>
    <row r="408" customFormat="false" ht="15" hidden="false" customHeight="false" outlineLevel="0" collapsed="false">
      <c r="A408" s="5" t="s">
        <v>1095</v>
      </c>
      <c r="B408" s="5" t="s">
        <v>1334</v>
      </c>
      <c r="C408" s="5" t="s">
        <v>1335</v>
      </c>
      <c r="D408" s="5" t="s">
        <v>1095</v>
      </c>
      <c r="E408" s="5" t="s">
        <v>53</v>
      </c>
      <c r="F408" s="6" t="n">
        <v>18208.83</v>
      </c>
      <c r="G408" s="7" t="n">
        <v>1286</v>
      </c>
      <c r="H408" s="8" t="n">
        <v>-0.2062</v>
      </c>
      <c r="I408" s="8" t="n">
        <v>0.0078</v>
      </c>
      <c r="J408" s="7" t="n">
        <v>289</v>
      </c>
      <c r="K408" s="5" t="n">
        <v>48</v>
      </c>
      <c r="L408" s="5" t="n">
        <v>286</v>
      </c>
      <c r="M408" s="5" t="n">
        <v>4.3</v>
      </c>
      <c r="N408" s="9" t="s">
        <v>54</v>
      </c>
      <c r="O408" s="5"/>
      <c r="P408" s="5"/>
      <c r="Q408" s="5"/>
      <c r="R408" s="7"/>
      <c r="S408" s="7"/>
      <c r="T408" s="5"/>
      <c r="U408" s="6"/>
      <c r="V408" s="7"/>
      <c r="W408" s="5"/>
      <c r="X408" s="7"/>
      <c r="Y408" s="7"/>
      <c r="Z408" s="7"/>
      <c r="AA408" s="10"/>
      <c r="AB408" s="11"/>
      <c r="AC408" s="10"/>
      <c r="AD408" s="12"/>
      <c r="AE408" s="12"/>
      <c r="AF408" s="12"/>
      <c r="AG408" s="7"/>
      <c r="AH408" s="7"/>
      <c r="AI408" s="5" t="s">
        <v>1336</v>
      </c>
    </row>
    <row r="409" customFormat="false" ht="15" hidden="false" customHeight="false" outlineLevel="0" collapsed="false">
      <c r="A409" s="5" t="s">
        <v>1095</v>
      </c>
      <c r="B409" s="5" t="s">
        <v>1337</v>
      </c>
      <c r="C409" s="5"/>
      <c r="D409" s="5" t="s">
        <v>677</v>
      </c>
      <c r="E409" s="5" t="s">
        <v>60</v>
      </c>
      <c r="F409" s="6" t="n">
        <v>18021.38</v>
      </c>
      <c r="G409" s="7" t="n">
        <v>423</v>
      </c>
      <c r="H409" s="8" t="n">
        <v>-0.04</v>
      </c>
      <c r="I409" s="8" t="n">
        <v>-0.1673</v>
      </c>
      <c r="J409" s="7" t="n">
        <v>131</v>
      </c>
      <c r="K409" s="5" t="n">
        <v>4</v>
      </c>
      <c r="L409" s="5" t="n">
        <v>42</v>
      </c>
      <c r="M409" s="5" t="n">
        <v>4.5</v>
      </c>
      <c r="N409" s="13" t="s">
        <v>61</v>
      </c>
      <c r="O409" s="5"/>
      <c r="P409" s="5"/>
      <c r="Q409" s="5"/>
      <c r="R409" s="7"/>
      <c r="S409" s="7"/>
      <c r="T409" s="5"/>
      <c r="U409" s="6"/>
      <c r="V409" s="7"/>
      <c r="W409" s="5"/>
      <c r="X409" s="7"/>
      <c r="Y409" s="7"/>
      <c r="Z409" s="7"/>
      <c r="AA409" s="10"/>
      <c r="AB409" s="11"/>
      <c r="AC409" s="10"/>
      <c r="AD409" s="12"/>
      <c r="AE409" s="12"/>
      <c r="AF409" s="12"/>
      <c r="AG409" s="7"/>
      <c r="AH409" s="7"/>
      <c r="AI409" s="5" t="s">
        <v>1338</v>
      </c>
    </row>
    <row r="410" customFormat="false" ht="15" hidden="false" customHeight="false" outlineLevel="0" collapsed="false">
      <c r="A410" s="5" t="s">
        <v>1095</v>
      </c>
      <c r="B410" s="5" t="s">
        <v>1339</v>
      </c>
      <c r="C410" s="5" t="s">
        <v>1340</v>
      </c>
      <c r="D410" s="5" t="s">
        <v>1095</v>
      </c>
      <c r="E410" s="5" t="s">
        <v>53</v>
      </c>
      <c r="F410" s="6" t="n">
        <v>17849.54</v>
      </c>
      <c r="G410" s="7" t="n">
        <v>1263</v>
      </c>
      <c r="H410" s="8" t="n">
        <v>-0.3522</v>
      </c>
      <c r="I410" s="8" t="n">
        <v>-0.3503</v>
      </c>
      <c r="J410" s="7" t="n">
        <v>120</v>
      </c>
      <c r="K410" s="5" t="n">
        <v>35</v>
      </c>
      <c r="L410" s="5" t="n">
        <v>499</v>
      </c>
      <c r="M410" s="5" t="n">
        <v>4.9</v>
      </c>
      <c r="N410" s="9" t="s">
        <v>54</v>
      </c>
      <c r="O410" s="5"/>
      <c r="P410" s="5"/>
      <c r="Q410" s="5"/>
      <c r="R410" s="7"/>
      <c r="S410" s="7"/>
      <c r="T410" s="5"/>
      <c r="U410" s="6"/>
      <c r="V410" s="7"/>
      <c r="W410" s="5"/>
      <c r="X410" s="7"/>
      <c r="Y410" s="7"/>
      <c r="Z410" s="7"/>
      <c r="AA410" s="10"/>
      <c r="AB410" s="11"/>
      <c r="AC410" s="10"/>
      <c r="AD410" s="12"/>
      <c r="AE410" s="12"/>
      <c r="AF410" s="12"/>
      <c r="AG410" s="7"/>
      <c r="AH410" s="7"/>
      <c r="AI410" s="5" t="s">
        <v>1341</v>
      </c>
    </row>
    <row r="411" customFormat="false" ht="15" hidden="false" customHeight="false" outlineLevel="0" collapsed="false">
      <c r="A411" s="5" t="s">
        <v>1095</v>
      </c>
      <c r="B411" s="5" t="s">
        <v>1342</v>
      </c>
      <c r="C411" s="5" t="s">
        <v>1343</v>
      </c>
      <c r="D411" s="5" t="s">
        <v>1095</v>
      </c>
      <c r="E411" s="5" t="s">
        <v>53</v>
      </c>
      <c r="F411" s="6" t="n">
        <v>17786.1</v>
      </c>
      <c r="G411" s="7" t="n">
        <v>1038</v>
      </c>
      <c r="H411" s="8" t="n">
        <v>0.4731</v>
      </c>
      <c r="I411" s="8" t="n">
        <v>0.4337</v>
      </c>
      <c r="J411" s="7" t="n">
        <v>390</v>
      </c>
      <c r="K411" s="5" t="n">
        <v>21</v>
      </c>
      <c r="L411" s="5" t="n">
        <v>78</v>
      </c>
      <c r="M411" s="5" t="n">
        <v>4.8</v>
      </c>
      <c r="N411" s="9" t="s">
        <v>54</v>
      </c>
      <c r="O411" s="5"/>
      <c r="P411" s="5"/>
      <c r="Q411" s="5"/>
      <c r="R411" s="7"/>
      <c r="S411" s="7"/>
      <c r="T411" s="5"/>
      <c r="U411" s="6"/>
      <c r="V411" s="7"/>
      <c r="W411" s="5"/>
      <c r="X411" s="7"/>
      <c r="Y411" s="7"/>
      <c r="Z411" s="7"/>
      <c r="AA411" s="10"/>
      <c r="AB411" s="11"/>
      <c r="AC411" s="10"/>
      <c r="AD411" s="12"/>
      <c r="AE411" s="12"/>
      <c r="AF411" s="12"/>
      <c r="AG411" s="7"/>
      <c r="AH411" s="7"/>
      <c r="AI411" s="5" t="s">
        <v>1344</v>
      </c>
    </row>
    <row r="412" customFormat="false" ht="15" hidden="false" customHeight="false" outlineLevel="0" collapsed="false">
      <c r="A412" s="5" t="s">
        <v>1095</v>
      </c>
      <c r="B412" s="5" t="s">
        <v>1345</v>
      </c>
      <c r="C412" s="5"/>
      <c r="D412" s="5" t="s">
        <v>1095</v>
      </c>
      <c r="E412" s="5" t="s">
        <v>53</v>
      </c>
      <c r="F412" s="6" t="n">
        <v>17296.83</v>
      </c>
      <c r="G412" s="7" t="n">
        <v>1130</v>
      </c>
      <c r="H412" s="8" t="n">
        <v>3.1171</v>
      </c>
      <c r="I412" s="8" t="n">
        <v>3.52</v>
      </c>
      <c r="J412" s="7" t="n">
        <v>72</v>
      </c>
      <c r="K412" s="5" t="n">
        <v>12</v>
      </c>
      <c r="L412" s="5" t="n">
        <v>158</v>
      </c>
      <c r="M412" s="5" t="n">
        <v>4.5</v>
      </c>
      <c r="N412" s="9" t="s">
        <v>54</v>
      </c>
      <c r="O412" s="5"/>
      <c r="P412" s="5"/>
      <c r="Q412" s="5"/>
      <c r="R412" s="7"/>
      <c r="S412" s="7"/>
      <c r="T412" s="5"/>
      <c r="U412" s="6"/>
      <c r="V412" s="7"/>
      <c r="W412" s="5"/>
      <c r="X412" s="7"/>
      <c r="Y412" s="7"/>
      <c r="Z412" s="7"/>
      <c r="AA412" s="10"/>
      <c r="AB412" s="11"/>
      <c r="AC412" s="10"/>
      <c r="AD412" s="12"/>
      <c r="AE412" s="12"/>
      <c r="AF412" s="12"/>
      <c r="AG412" s="7"/>
      <c r="AH412" s="7"/>
      <c r="AI412" s="5" t="s">
        <v>1346</v>
      </c>
    </row>
    <row r="413" customFormat="false" ht="15" hidden="false" customHeight="false" outlineLevel="0" collapsed="false">
      <c r="A413" s="5" t="s">
        <v>1095</v>
      </c>
      <c r="B413" s="5" t="s">
        <v>1347</v>
      </c>
      <c r="C413" s="5"/>
      <c r="D413" s="5" t="s">
        <v>1095</v>
      </c>
      <c r="E413" s="5" t="s">
        <v>53</v>
      </c>
      <c r="F413" s="6" t="n">
        <v>17240.94</v>
      </c>
      <c r="G413" s="7" t="n">
        <v>709</v>
      </c>
      <c r="H413" s="8" t="n">
        <v>0.1177</v>
      </c>
      <c r="I413" s="8" t="n">
        <v>-0.0622</v>
      </c>
      <c r="J413" s="7" t="n">
        <v>63</v>
      </c>
      <c r="K413" s="5" t="n">
        <v>9</v>
      </c>
      <c r="L413" s="5" t="n">
        <v>10</v>
      </c>
      <c r="M413" s="5" t="n">
        <v>2.5</v>
      </c>
      <c r="N413" s="9" t="s">
        <v>54</v>
      </c>
      <c r="O413" s="5"/>
      <c r="P413" s="5"/>
      <c r="Q413" s="5"/>
      <c r="R413" s="7"/>
      <c r="S413" s="7"/>
      <c r="T413" s="5"/>
      <c r="U413" s="6"/>
      <c r="V413" s="7"/>
      <c r="W413" s="5"/>
      <c r="X413" s="7"/>
      <c r="Y413" s="7"/>
      <c r="Z413" s="7"/>
      <c r="AA413" s="10"/>
      <c r="AB413" s="11"/>
      <c r="AC413" s="10"/>
      <c r="AD413" s="12"/>
      <c r="AE413" s="12"/>
      <c r="AF413" s="12"/>
      <c r="AG413" s="7"/>
      <c r="AH413" s="7"/>
      <c r="AI413" s="5" t="s">
        <v>1348</v>
      </c>
    </row>
    <row r="414" customFormat="false" ht="15" hidden="false" customHeight="false" outlineLevel="0" collapsed="false">
      <c r="A414" s="5" t="s">
        <v>1095</v>
      </c>
      <c r="B414" s="5" t="s">
        <v>1349</v>
      </c>
      <c r="C414" s="5"/>
      <c r="D414" s="5" t="s">
        <v>1095</v>
      </c>
      <c r="E414" s="5" t="s">
        <v>53</v>
      </c>
      <c r="F414" s="6" t="n">
        <v>17167.23</v>
      </c>
      <c r="G414" s="7" t="n">
        <v>798</v>
      </c>
      <c r="H414" s="8" t="n">
        <v>0.8993</v>
      </c>
      <c r="I414" s="8" t="n">
        <v>0.6765</v>
      </c>
      <c r="J414" s="7" t="n">
        <v>99</v>
      </c>
      <c r="K414" s="5" t="n">
        <v>49</v>
      </c>
      <c r="L414" s="5" t="n">
        <v>2181</v>
      </c>
      <c r="M414" s="5" t="n">
        <v>4.3</v>
      </c>
      <c r="N414" s="9" t="s">
        <v>54</v>
      </c>
      <c r="O414" s="5"/>
      <c r="P414" s="5"/>
      <c r="Q414" s="5"/>
      <c r="R414" s="7"/>
      <c r="S414" s="7"/>
      <c r="T414" s="5"/>
      <c r="U414" s="6"/>
      <c r="V414" s="7"/>
      <c r="W414" s="5"/>
      <c r="X414" s="7"/>
      <c r="Y414" s="7"/>
      <c r="Z414" s="7"/>
      <c r="AA414" s="10"/>
      <c r="AB414" s="11"/>
      <c r="AC414" s="10"/>
      <c r="AD414" s="12"/>
      <c r="AE414" s="12"/>
      <c r="AF414" s="12"/>
      <c r="AG414" s="7"/>
      <c r="AH414" s="7"/>
      <c r="AI414" s="5" t="s">
        <v>1350</v>
      </c>
    </row>
    <row r="415" customFormat="false" ht="15" hidden="false" customHeight="false" outlineLevel="0" collapsed="false">
      <c r="A415" s="5" t="s">
        <v>1095</v>
      </c>
      <c r="B415" s="5" t="s">
        <v>1351</v>
      </c>
      <c r="C415" s="5" t="s">
        <v>1352</v>
      </c>
      <c r="D415" s="5" t="s">
        <v>1095</v>
      </c>
      <c r="E415" s="5" t="s">
        <v>53</v>
      </c>
      <c r="F415" s="6" t="n">
        <v>17165.95</v>
      </c>
      <c r="G415" s="7" t="n">
        <v>817</v>
      </c>
      <c r="H415" s="8" t="n">
        <v>0.3069</v>
      </c>
      <c r="I415" s="8" t="n">
        <v>0.154</v>
      </c>
      <c r="J415" s="7" t="n">
        <v>158</v>
      </c>
      <c r="K415" s="5" t="n">
        <v>42</v>
      </c>
      <c r="L415" s="5" t="n">
        <v>128</v>
      </c>
      <c r="M415" s="5" t="n">
        <v>4.7</v>
      </c>
      <c r="N415" s="9" t="s">
        <v>54</v>
      </c>
      <c r="O415" s="5"/>
      <c r="P415" s="5"/>
      <c r="Q415" s="5"/>
      <c r="R415" s="7"/>
      <c r="S415" s="7"/>
      <c r="T415" s="5"/>
      <c r="U415" s="6"/>
      <c r="V415" s="7"/>
      <c r="W415" s="5"/>
      <c r="X415" s="7"/>
      <c r="Y415" s="7"/>
      <c r="Z415" s="7"/>
      <c r="AA415" s="10"/>
      <c r="AB415" s="11"/>
      <c r="AC415" s="10"/>
      <c r="AD415" s="12"/>
      <c r="AE415" s="12"/>
      <c r="AF415" s="12"/>
      <c r="AG415" s="7"/>
      <c r="AH415" s="7"/>
      <c r="AI415" s="5" t="s">
        <v>1353</v>
      </c>
    </row>
    <row r="416" customFormat="false" ht="15" hidden="false" customHeight="false" outlineLevel="0" collapsed="false">
      <c r="A416" s="5" t="s">
        <v>1095</v>
      </c>
      <c r="B416" s="5" t="s">
        <v>1354</v>
      </c>
      <c r="C416" s="5"/>
      <c r="D416" s="5" t="s">
        <v>1095</v>
      </c>
      <c r="E416" s="5" t="s">
        <v>60</v>
      </c>
      <c r="F416" s="6" t="n">
        <v>16990.68</v>
      </c>
      <c r="G416" s="7" t="n">
        <v>688</v>
      </c>
      <c r="H416" s="8" t="n">
        <v>0.8077</v>
      </c>
      <c r="I416" s="8" t="n">
        <v>0.7917</v>
      </c>
      <c r="J416" s="7" t="n">
        <v>69</v>
      </c>
      <c r="K416" s="5" t="n">
        <v>4</v>
      </c>
      <c r="L416" s="5" t="n">
        <v>55</v>
      </c>
      <c r="M416" s="5" t="n">
        <v>3.7</v>
      </c>
      <c r="N416" s="9" t="s">
        <v>54</v>
      </c>
      <c r="O416" s="5" t="s">
        <v>258</v>
      </c>
      <c r="P416" s="5"/>
      <c r="Q416" s="5"/>
      <c r="R416" s="7"/>
      <c r="S416" s="7"/>
      <c r="T416" s="5" t="s">
        <v>1355</v>
      </c>
      <c r="U416" s="6" t="n">
        <v>25189.64</v>
      </c>
      <c r="V416" s="7" t="n">
        <v>1279</v>
      </c>
      <c r="W416" s="5" t="n">
        <v>32</v>
      </c>
      <c r="X416" s="7" t="n">
        <v>65</v>
      </c>
      <c r="Y416" s="7" t="n">
        <v>177</v>
      </c>
      <c r="Z416" s="7" t="n">
        <v>38</v>
      </c>
      <c r="AA416" s="10" t="n">
        <v>4.54</v>
      </c>
      <c r="AB416" s="11" t="n">
        <v>25.04</v>
      </c>
      <c r="AC416" s="10"/>
      <c r="AD416" s="12"/>
      <c r="AE416" s="12"/>
      <c r="AF416" s="12"/>
      <c r="AG416" s="7" t="n">
        <v>89</v>
      </c>
      <c r="AH416" s="7" t="n">
        <v>2540</v>
      </c>
      <c r="AI416" s="5" t="s">
        <v>1356</v>
      </c>
    </row>
    <row r="417" customFormat="false" ht="15" hidden="false" customHeight="false" outlineLevel="0" collapsed="false">
      <c r="A417" s="5" t="s">
        <v>1095</v>
      </c>
      <c r="B417" s="5" t="s">
        <v>1357</v>
      </c>
      <c r="C417" s="5"/>
      <c r="D417" s="5" t="s">
        <v>1095</v>
      </c>
      <c r="E417" s="5" t="s">
        <v>60</v>
      </c>
      <c r="F417" s="6" t="n">
        <v>16666.06</v>
      </c>
      <c r="G417" s="7" t="n">
        <v>1099</v>
      </c>
      <c r="H417" s="8" t="n">
        <v>17.3144</v>
      </c>
      <c r="I417" s="8" t="n">
        <v>11.4886</v>
      </c>
      <c r="J417" s="7" t="n">
        <v>121</v>
      </c>
      <c r="K417" s="5" t="n">
        <v>8</v>
      </c>
      <c r="L417" s="5" t="n">
        <v>26</v>
      </c>
      <c r="M417" s="5" t="n">
        <v>4.2</v>
      </c>
      <c r="N417" s="9" t="s">
        <v>54</v>
      </c>
      <c r="O417" s="5"/>
      <c r="P417" s="5" t="s">
        <v>1358</v>
      </c>
      <c r="Q417" s="14" t="s">
        <v>1359</v>
      </c>
      <c r="R417" s="7" t="n">
        <v>0</v>
      </c>
      <c r="S417" s="7" t="n">
        <v>1</v>
      </c>
      <c r="T417" s="5" t="s">
        <v>1360</v>
      </c>
      <c r="U417" s="6" t="n">
        <v>19498.75</v>
      </c>
      <c r="V417" s="7" t="n">
        <v>1600</v>
      </c>
      <c r="W417" s="5" t="n">
        <v>29</v>
      </c>
      <c r="X417" s="7" t="n">
        <v>97</v>
      </c>
      <c r="Y417" s="7" t="n">
        <v>160</v>
      </c>
      <c r="Z417" s="7" t="n">
        <v>9</v>
      </c>
      <c r="AA417" s="10" t="n">
        <v>6.79</v>
      </c>
      <c r="AB417" s="11" t="n">
        <v>20.79</v>
      </c>
      <c r="AC417" s="10"/>
      <c r="AD417" s="12"/>
      <c r="AE417" s="12"/>
      <c r="AF417" s="12"/>
      <c r="AG417" s="7" t="n">
        <v>78</v>
      </c>
      <c r="AH417" s="7" t="n">
        <v>2291</v>
      </c>
      <c r="AI417" s="5" t="s">
        <v>1361</v>
      </c>
    </row>
    <row r="418" customFormat="false" ht="15" hidden="false" customHeight="false" outlineLevel="0" collapsed="false">
      <c r="A418" s="5" t="s">
        <v>1095</v>
      </c>
      <c r="B418" s="5" t="s">
        <v>1362</v>
      </c>
      <c r="C418" s="5" t="s">
        <v>1363</v>
      </c>
      <c r="D418" s="5" t="s">
        <v>1095</v>
      </c>
      <c r="E418" s="5" t="s">
        <v>53</v>
      </c>
      <c r="F418" s="6" t="n">
        <v>16576.42</v>
      </c>
      <c r="G418" s="7" t="n">
        <v>795</v>
      </c>
      <c r="H418" s="8" t="n">
        <v>0.6158</v>
      </c>
      <c r="I418" s="8" t="n">
        <v>0.5377</v>
      </c>
      <c r="J418" s="7" t="n">
        <v>183</v>
      </c>
      <c r="K418" s="5" t="n">
        <v>50</v>
      </c>
      <c r="L418" s="5" t="n">
        <v>338</v>
      </c>
      <c r="M418" s="5" t="n">
        <v>4.7</v>
      </c>
      <c r="N418" s="9" t="s">
        <v>54</v>
      </c>
      <c r="O418" s="5"/>
      <c r="P418" s="5"/>
      <c r="Q418" s="5"/>
      <c r="R418" s="7"/>
      <c r="S418" s="7"/>
      <c r="T418" s="5"/>
      <c r="U418" s="6"/>
      <c r="V418" s="7"/>
      <c r="W418" s="5"/>
      <c r="X418" s="7"/>
      <c r="Y418" s="7"/>
      <c r="Z418" s="7"/>
      <c r="AA418" s="10"/>
      <c r="AB418" s="11"/>
      <c r="AC418" s="10"/>
      <c r="AD418" s="12"/>
      <c r="AE418" s="12"/>
      <c r="AF418" s="12"/>
      <c r="AG418" s="7"/>
      <c r="AH418" s="7"/>
      <c r="AI418" s="5" t="s">
        <v>1364</v>
      </c>
    </row>
    <row r="419" customFormat="false" ht="15" hidden="false" customHeight="false" outlineLevel="0" collapsed="false">
      <c r="A419" s="5" t="s">
        <v>1095</v>
      </c>
      <c r="B419" s="5" t="s">
        <v>1365</v>
      </c>
      <c r="C419" s="5" t="s">
        <v>1366</v>
      </c>
      <c r="D419" s="5" t="s">
        <v>1095</v>
      </c>
      <c r="E419" s="5" t="s">
        <v>60</v>
      </c>
      <c r="F419" s="6" t="n">
        <v>16530.23</v>
      </c>
      <c r="G419" s="7" t="n">
        <v>318</v>
      </c>
      <c r="H419" s="8" t="n">
        <v>0.0967</v>
      </c>
      <c r="I419" s="8" t="n">
        <v>-0.0245</v>
      </c>
      <c r="J419" s="7" t="n">
        <v>49</v>
      </c>
      <c r="K419" s="5" t="n">
        <v>29</v>
      </c>
      <c r="L419" s="5" t="n">
        <v>1137</v>
      </c>
      <c r="M419" s="5" t="n">
        <v>4</v>
      </c>
      <c r="N419" s="9" t="s">
        <v>54</v>
      </c>
      <c r="O419" s="5"/>
      <c r="P419" s="5"/>
      <c r="Q419" s="5"/>
      <c r="R419" s="7"/>
      <c r="S419" s="7"/>
      <c r="T419" s="5"/>
      <c r="U419" s="6"/>
      <c r="V419" s="7"/>
      <c r="W419" s="5"/>
      <c r="X419" s="7"/>
      <c r="Y419" s="7"/>
      <c r="Z419" s="7"/>
      <c r="AA419" s="10"/>
      <c r="AB419" s="11"/>
      <c r="AC419" s="10"/>
      <c r="AD419" s="12"/>
      <c r="AE419" s="12"/>
      <c r="AF419" s="12"/>
      <c r="AG419" s="7"/>
      <c r="AH419" s="7"/>
      <c r="AI419" s="5" t="s">
        <v>1367</v>
      </c>
    </row>
    <row r="420" customFormat="false" ht="15" hidden="false" customHeight="false" outlineLevel="0" collapsed="false">
      <c r="A420" s="5" t="s">
        <v>1095</v>
      </c>
      <c r="B420" s="5" t="s">
        <v>1368</v>
      </c>
      <c r="C420" s="5" t="s">
        <v>1369</v>
      </c>
      <c r="D420" s="5" t="s">
        <v>449</v>
      </c>
      <c r="E420" s="5" t="s">
        <v>60</v>
      </c>
      <c r="F420" s="6" t="n">
        <v>16243.44</v>
      </c>
      <c r="G420" s="7" t="n">
        <v>153</v>
      </c>
      <c r="H420" s="8" t="n">
        <v>-0.2728</v>
      </c>
      <c r="I420" s="8" t="n">
        <v>-0.2817</v>
      </c>
      <c r="J420" s="7" t="n">
        <v>154</v>
      </c>
      <c r="K420" s="5" t="n">
        <v>11</v>
      </c>
      <c r="L420" s="5" t="n">
        <v>270</v>
      </c>
      <c r="M420" s="5" t="n">
        <v>4.4</v>
      </c>
      <c r="N420" s="13" t="s">
        <v>61</v>
      </c>
      <c r="O420" s="5"/>
      <c r="P420" s="5"/>
      <c r="Q420" s="5"/>
      <c r="R420" s="7"/>
      <c r="S420" s="7"/>
      <c r="T420" s="5"/>
      <c r="U420" s="6"/>
      <c r="V420" s="7"/>
      <c r="W420" s="5"/>
      <c r="X420" s="7"/>
      <c r="Y420" s="7"/>
      <c r="Z420" s="7"/>
      <c r="AA420" s="10"/>
      <c r="AB420" s="11"/>
      <c r="AC420" s="10"/>
      <c r="AD420" s="12"/>
      <c r="AE420" s="12"/>
      <c r="AF420" s="12"/>
      <c r="AG420" s="7"/>
      <c r="AH420" s="7"/>
      <c r="AI420" s="5" t="s">
        <v>1370</v>
      </c>
    </row>
    <row r="421" customFormat="false" ht="15" hidden="false" customHeight="false" outlineLevel="0" collapsed="false">
      <c r="A421" s="5" t="s">
        <v>1095</v>
      </c>
      <c r="B421" s="5" t="s">
        <v>1371</v>
      </c>
      <c r="C421" s="5"/>
      <c r="D421" s="5" t="s">
        <v>1095</v>
      </c>
      <c r="E421" s="5" t="s">
        <v>53</v>
      </c>
      <c r="F421" s="6" t="n">
        <v>16209.76</v>
      </c>
      <c r="G421" s="7" t="n">
        <v>1104</v>
      </c>
      <c r="H421" s="8" t="n">
        <v>0.2405</v>
      </c>
      <c r="I421" s="8" t="n">
        <v>0.1512</v>
      </c>
      <c r="J421" s="7" t="n">
        <v>134</v>
      </c>
      <c r="K421" s="5" t="n">
        <v>45</v>
      </c>
      <c r="L421" s="5" t="n">
        <v>505</v>
      </c>
      <c r="M421" s="5" t="n">
        <v>3.8</v>
      </c>
      <c r="N421" s="9" t="s">
        <v>54</v>
      </c>
      <c r="O421" s="5"/>
      <c r="P421" s="5"/>
      <c r="Q421" s="5"/>
      <c r="R421" s="7"/>
      <c r="S421" s="7"/>
      <c r="T421" s="5"/>
      <c r="U421" s="6"/>
      <c r="V421" s="7"/>
      <c r="W421" s="5"/>
      <c r="X421" s="7"/>
      <c r="Y421" s="7"/>
      <c r="Z421" s="7"/>
      <c r="AA421" s="10"/>
      <c r="AB421" s="11"/>
      <c r="AC421" s="10"/>
      <c r="AD421" s="12"/>
      <c r="AE421" s="12"/>
      <c r="AF421" s="12"/>
      <c r="AG421" s="7"/>
      <c r="AH421" s="7"/>
      <c r="AI421" s="5" t="s">
        <v>1372</v>
      </c>
    </row>
    <row r="422" customFormat="false" ht="15" hidden="false" customHeight="false" outlineLevel="0" collapsed="false">
      <c r="A422" s="5" t="s">
        <v>1095</v>
      </c>
      <c r="B422" s="5" t="s">
        <v>1373</v>
      </c>
      <c r="C422" s="5" t="s">
        <v>1374</v>
      </c>
      <c r="D422" s="5" t="s">
        <v>1095</v>
      </c>
      <c r="E422" s="5" t="s">
        <v>53</v>
      </c>
      <c r="F422" s="6" t="n">
        <v>16149.75</v>
      </c>
      <c r="G422" s="7" t="n">
        <v>772</v>
      </c>
      <c r="H422" s="8" t="n">
        <v>-0.102</v>
      </c>
      <c r="I422" s="8" t="n">
        <v>-0.1983</v>
      </c>
      <c r="J422" s="7" t="n">
        <v>90</v>
      </c>
      <c r="K422" s="5" t="n">
        <v>32</v>
      </c>
      <c r="L422" s="5" t="n">
        <v>68</v>
      </c>
      <c r="M422" s="5" t="n">
        <v>4.8</v>
      </c>
      <c r="N422" s="9" t="s">
        <v>54</v>
      </c>
      <c r="O422" s="5"/>
      <c r="P422" s="5"/>
      <c r="Q422" s="5"/>
      <c r="R422" s="7"/>
      <c r="S422" s="7"/>
      <c r="T422" s="5"/>
      <c r="U422" s="6"/>
      <c r="V422" s="7"/>
      <c r="W422" s="5"/>
      <c r="X422" s="7"/>
      <c r="Y422" s="7"/>
      <c r="Z422" s="7"/>
      <c r="AA422" s="10"/>
      <c r="AB422" s="11"/>
      <c r="AC422" s="10"/>
      <c r="AD422" s="12"/>
      <c r="AE422" s="12"/>
      <c r="AF422" s="12"/>
      <c r="AG422" s="7"/>
      <c r="AH422" s="7"/>
      <c r="AI422" s="5" t="s">
        <v>1375</v>
      </c>
    </row>
    <row r="423" customFormat="false" ht="15" hidden="false" customHeight="false" outlineLevel="0" collapsed="false">
      <c r="A423" s="5" t="s">
        <v>1095</v>
      </c>
      <c r="B423" s="5" t="s">
        <v>1376</v>
      </c>
      <c r="C423" s="5" t="s">
        <v>1377</v>
      </c>
      <c r="D423" s="5" t="s">
        <v>1095</v>
      </c>
      <c r="E423" s="5" t="s">
        <v>53</v>
      </c>
      <c r="F423" s="6" t="n">
        <v>16139.43</v>
      </c>
      <c r="G423" s="7" t="n">
        <v>1022</v>
      </c>
      <c r="H423" s="8" t="n">
        <v>-0.5361</v>
      </c>
      <c r="I423" s="8" t="n">
        <v>-0.5282</v>
      </c>
      <c r="J423" s="7" t="n">
        <v>76</v>
      </c>
      <c r="K423" s="5" t="n">
        <v>37</v>
      </c>
      <c r="L423" s="5" t="n">
        <v>277</v>
      </c>
      <c r="M423" s="5" t="n">
        <v>4.5</v>
      </c>
      <c r="N423" s="9" t="s">
        <v>54</v>
      </c>
      <c r="O423" s="5"/>
      <c r="P423" s="5"/>
      <c r="Q423" s="5"/>
      <c r="R423" s="7"/>
      <c r="S423" s="7"/>
      <c r="T423" s="5"/>
      <c r="U423" s="6"/>
      <c r="V423" s="7"/>
      <c r="W423" s="5"/>
      <c r="X423" s="7"/>
      <c r="Y423" s="7"/>
      <c r="Z423" s="7"/>
      <c r="AA423" s="10"/>
      <c r="AB423" s="11"/>
      <c r="AC423" s="10"/>
      <c r="AD423" s="12"/>
      <c r="AE423" s="12"/>
      <c r="AF423" s="12"/>
      <c r="AG423" s="7"/>
      <c r="AH423" s="7"/>
      <c r="AI423" s="5" t="s">
        <v>1378</v>
      </c>
    </row>
    <row r="424" customFormat="false" ht="15" hidden="false" customHeight="false" outlineLevel="0" collapsed="false">
      <c r="A424" s="5" t="s">
        <v>1095</v>
      </c>
      <c r="B424" s="5" t="s">
        <v>1379</v>
      </c>
      <c r="C424" s="5" t="s">
        <v>1380</v>
      </c>
      <c r="D424" s="5" t="s">
        <v>1095</v>
      </c>
      <c r="E424" s="5" t="s">
        <v>53</v>
      </c>
      <c r="F424" s="6" t="n">
        <v>16122.01</v>
      </c>
      <c r="G424" s="7" t="n">
        <v>627</v>
      </c>
      <c r="H424" s="8" t="n">
        <v>-0.0849</v>
      </c>
      <c r="I424" s="8" t="n">
        <v>-0.1618</v>
      </c>
      <c r="J424" s="7" t="n">
        <v>108</v>
      </c>
      <c r="K424" s="5" t="n">
        <v>3</v>
      </c>
      <c r="L424" s="5" t="n">
        <v>5</v>
      </c>
      <c r="M424" s="5" t="n">
        <v>4.4</v>
      </c>
      <c r="N424" s="9" t="s">
        <v>54</v>
      </c>
      <c r="O424" s="5"/>
      <c r="P424" s="5"/>
      <c r="Q424" s="5"/>
      <c r="R424" s="7"/>
      <c r="S424" s="7"/>
      <c r="T424" s="5"/>
      <c r="U424" s="6"/>
      <c r="V424" s="7"/>
      <c r="W424" s="5"/>
      <c r="X424" s="7"/>
      <c r="Y424" s="7"/>
      <c r="Z424" s="7"/>
      <c r="AA424" s="10"/>
      <c r="AB424" s="11"/>
      <c r="AC424" s="10"/>
      <c r="AD424" s="12"/>
      <c r="AE424" s="12"/>
      <c r="AF424" s="12"/>
      <c r="AG424" s="7"/>
      <c r="AH424" s="7"/>
      <c r="AI424" s="5" t="s">
        <v>1381</v>
      </c>
    </row>
    <row r="425" customFormat="false" ht="15" hidden="false" customHeight="false" outlineLevel="0" collapsed="false">
      <c r="A425" s="5" t="s">
        <v>1095</v>
      </c>
      <c r="B425" s="5" t="s">
        <v>1382</v>
      </c>
      <c r="C425" s="5" t="s">
        <v>1383</v>
      </c>
      <c r="D425" s="5" t="s">
        <v>1095</v>
      </c>
      <c r="E425" s="5" t="s">
        <v>60</v>
      </c>
      <c r="F425" s="6" t="n">
        <v>15451.65</v>
      </c>
      <c r="G425" s="7" t="n">
        <v>703</v>
      </c>
      <c r="H425" s="8" t="n">
        <v>-0.2232</v>
      </c>
      <c r="I425" s="8" t="n">
        <v>-0.4331</v>
      </c>
      <c r="J425" s="7" t="n">
        <v>136</v>
      </c>
      <c r="K425" s="5" t="n">
        <v>44</v>
      </c>
      <c r="L425" s="5" t="n">
        <v>286</v>
      </c>
      <c r="M425" s="5" t="n">
        <v>3.9</v>
      </c>
      <c r="N425" s="9" t="s">
        <v>54</v>
      </c>
      <c r="O425" s="5"/>
      <c r="P425" s="5" t="s">
        <v>1384</v>
      </c>
      <c r="Q425" s="14" t="s">
        <v>1385</v>
      </c>
      <c r="R425" s="7" t="n">
        <v>4855</v>
      </c>
      <c r="S425" s="7" t="n">
        <v>253</v>
      </c>
      <c r="T425" s="5" t="s">
        <v>223</v>
      </c>
      <c r="U425" s="6" t="n">
        <v>603687.93</v>
      </c>
      <c r="V425" s="7" t="n">
        <v>27950</v>
      </c>
      <c r="W425" s="5" t="n">
        <v>568</v>
      </c>
      <c r="X425" s="7" t="n">
        <v>1555</v>
      </c>
      <c r="Y425" s="7" t="n">
        <v>2872</v>
      </c>
      <c r="Z425" s="7" t="n">
        <v>803</v>
      </c>
      <c r="AA425" s="10" t="n">
        <v>2.99</v>
      </c>
      <c r="AB425" s="11" t="n">
        <v>92.25</v>
      </c>
      <c r="AC425" s="10" t="n">
        <v>25.72</v>
      </c>
      <c r="AD425" s="12" t="n">
        <v>0.76</v>
      </c>
      <c r="AE425" s="12" t="n">
        <v>0.91</v>
      </c>
      <c r="AF425" s="12" t="n">
        <v>0.84</v>
      </c>
      <c r="AG425" s="7" t="n">
        <v>239</v>
      </c>
      <c r="AH425" s="7" t="n">
        <v>1331</v>
      </c>
      <c r="AI425" s="5" t="s">
        <v>1386</v>
      </c>
    </row>
    <row r="426" customFormat="false" ht="15" hidden="false" customHeight="false" outlineLevel="0" collapsed="false">
      <c r="A426" s="5" t="s">
        <v>1095</v>
      </c>
      <c r="B426" s="5" t="s">
        <v>1387</v>
      </c>
      <c r="C426" s="5"/>
      <c r="D426" s="5" t="s">
        <v>1095</v>
      </c>
      <c r="E426" s="5" t="s">
        <v>60</v>
      </c>
      <c r="F426" s="6" t="n">
        <v>15186.39</v>
      </c>
      <c r="G426" s="7" t="n">
        <v>1258</v>
      </c>
      <c r="H426" s="8" t="n">
        <v>-0.7085</v>
      </c>
      <c r="I426" s="8" t="n">
        <v>-0.7305</v>
      </c>
      <c r="J426" s="7" t="n">
        <v>98</v>
      </c>
      <c r="K426" s="5" t="n">
        <v>12</v>
      </c>
      <c r="L426" s="5" t="n">
        <v>163</v>
      </c>
      <c r="M426" s="5" t="n">
        <v>3.8</v>
      </c>
      <c r="N426" s="9" t="s">
        <v>54</v>
      </c>
      <c r="O426" s="5"/>
      <c r="P426" s="5" t="s">
        <v>1388</v>
      </c>
      <c r="Q426" s="14" t="s">
        <v>1389</v>
      </c>
      <c r="R426" s="7" t="n">
        <v>732</v>
      </c>
      <c r="S426" s="7" t="n">
        <v>342</v>
      </c>
      <c r="T426" s="5" t="s">
        <v>1390</v>
      </c>
      <c r="U426" s="6" t="n">
        <v>112513.71</v>
      </c>
      <c r="V426" s="7" t="n">
        <v>14452</v>
      </c>
      <c r="W426" s="5" t="n">
        <v>144</v>
      </c>
      <c r="X426" s="7" t="n">
        <v>359</v>
      </c>
      <c r="Y426" s="7" t="n">
        <v>821</v>
      </c>
      <c r="Z426" s="7" t="n">
        <v>102</v>
      </c>
      <c r="AA426" s="10" t="n">
        <v>1</v>
      </c>
      <c r="AB426" s="11" t="n">
        <v>29.99</v>
      </c>
      <c r="AC426" s="10"/>
      <c r="AD426" s="12" t="n">
        <v>0.65</v>
      </c>
      <c r="AE426" s="12" t="n">
        <v>0.85</v>
      </c>
      <c r="AF426" s="12" t="n">
        <v>0.89</v>
      </c>
      <c r="AG426" s="7" t="n">
        <v>62</v>
      </c>
      <c r="AH426" s="7" t="n">
        <v>1921</v>
      </c>
      <c r="AI426" s="5" t="s">
        <v>1391</v>
      </c>
    </row>
    <row r="427" customFormat="false" ht="15" hidden="false" customHeight="false" outlineLevel="0" collapsed="false">
      <c r="A427" s="5" t="s">
        <v>1095</v>
      </c>
      <c r="B427" s="5" t="s">
        <v>1392</v>
      </c>
      <c r="C427" s="5" t="s">
        <v>1393</v>
      </c>
      <c r="D427" s="5" t="s">
        <v>1095</v>
      </c>
      <c r="E427" s="5" t="s">
        <v>53</v>
      </c>
      <c r="F427" s="6" t="n">
        <v>14983.06</v>
      </c>
      <c r="G427" s="7" t="n">
        <v>914</v>
      </c>
      <c r="H427" s="8" t="n">
        <v>-0.209</v>
      </c>
      <c r="I427" s="8" t="n">
        <v>-0.2551</v>
      </c>
      <c r="J427" s="7" t="n">
        <v>166</v>
      </c>
      <c r="K427" s="5" t="n">
        <v>8</v>
      </c>
      <c r="L427" s="5" t="n">
        <v>177</v>
      </c>
      <c r="M427" s="5" t="n">
        <v>2.1</v>
      </c>
      <c r="N427" s="9" t="s">
        <v>54</v>
      </c>
      <c r="O427" s="5"/>
      <c r="P427" s="5"/>
      <c r="Q427" s="5"/>
      <c r="R427" s="7"/>
      <c r="S427" s="7"/>
      <c r="T427" s="5"/>
      <c r="U427" s="6"/>
      <c r="V427" s="7"/>
      <c r="W427" s="5"/>
      <c r="X427" s="7"/>
      <c r="Y427" s="7"/>
      <c r="Z427" s="7"/>
      <c r="AA427" s="10"/>
      <c r="AB427" s="11"/>
      <c r="AC427" s="10"/>
      <c r="AD427" s="12"/>
      <c r="AE427" s="12"/>
      <c r="AF427" s="12"/>
      <c r="AG427" s="7"/>
      <c r="AH427" s="7"/>
      <c r="AI427" s="5" t="s">
        <v>1394</v>
      </c>
    </row>
    <row r="428" customFormat="false" ht="15" hidden="false" customHeight="false" outlineLevel="0" collapsed="false">
      <c r="A428" s="5" t="s">
        <v>1095</v>
      </c>
      <c r="B428" s="5" t="s">
        <v>1395</v>
      </c>
      <c r="C428" s="5" t="s">
        <v>1396</v>
      </c>
      <c r="D428" s="5" t="s">
        <v>1095</v>
      </c>
      <c r="E428" s="5" t="s">
        <v>53</v>
      </c>
      <c r="F428" s="6" t="n">
        <v>14934.34</v>
      </c>
      <c r="G428" s="7" t="n">
        <v>615</v>
      </c>
      <c r="H428" s="8" t="n">
        <v>0.4046</v>
      </c>
      <c r="I428" s="8" t="n">
        <v>0.2178</v>
      </c>
      <c r="J428" s="7" t="n">
        <v>149</v>
      </c>
      <c r="K428" s="5" t="n">
        <v>9</v>
      </c>
      <c r="L428" s="5" t="n">
        <v>58</v>
      </c>
      <c r="M428" s="5" t="n">
        <v>4.4</v>
      </c>
      <c r="N428" s="9" t="s">
        <v>54</v>
      </c>
      <c r="O428" s="5"/>
      <c r="P428" s="5"/>
      <c r="Q428" s="5"/>
      <c r="R428" s="7"/>
      <c r="S428" s="7"/>
      <c r="T428" s="5"/>
      <c r="U428" s="6"/>
      <c r="V428" s="7"/>
      <c r="W428" s="5"/>
      <c r="X428" s="7"/>
      <c r="Y428" s="7"/>
      <c r="Z428" s="7"/>
      <c r="AA428" s="10"/>
      <c r="AB428" s="11"/>
      <c r="AC428" s="10"/>
      <c r="AD428" s="12"/>
      <c r="AE428" s="12"/>
      <c r="AF428" s="12"/>
      <c r="AG428" s="7"/>
      <c r="AH428" s="7"/>
      <c r="AI428" s="5" t="s">
        <v>1397</v>
      </c>
    </row>
    <row r="429" customFormat="false" ht="15" hidden="false" customHeight="false" outlineLevel="0" collapsed="false">
      <c r="A429" s="5" t="s">
        <v>1095</v>
      </c>
      <c r="B429" s="5" t="s">
        <v>1398</v>
      </c>
      <c r="C429" s="5"/>
      <c r="D429" s="5" t="s">
        <v>1095</v>
      </c>
      <c r="E429" s="5" t="s">
        <v>53</v>
      </c>
      <c r="F429" s="6" t="n">
        <v>14861.85</v>
      </c>
      <c r="G429" s="7" t="n">
        <v>427</v>
      </c>
      <c r="H429" s="8" t="n">
        <v>1.979</v>
      </c>
      <c r="I429" s="8" t="n">
        <v>1.4124</v>
      </c>
      <c r="J429" s="7" t="n">
        <v>22</v>
      </c>
      <c r="K429" s="5" t="n">
        <v>20</v>
      </c>
      <c r="L429" s="5" t="n">
        <v>533</v>
      </c>
      <c r="M429" s="5" t="n">
        <v>4.3</v>
      </c>
      <c r="N429" s="9" t="s">
        <v>54</v>
      </c>
      <c r="O429" s="5"/>
      <c r="P429" s="5"/>
      <c r="Q429" s="5"/>
      <c r="R429" s="7"/>
      <c r="S429" s="7"/>
      <c r="T429" s="5"/>
      <c r="U429" s="6"/>
      <c r="V429" s="7"/>
      <c r="W429" s="5"/>
      <c r="X429" s="7"/>
      <c r="Y429" s="7"/>
      <c r="Z429" s="7"/>
      <c r="AA429" s="10"/>
      <c r="AB429" s="11"/>
      <c r="AC429" s="10"/>
      <c r="AD429" s="12"/>
      <c r="AE429" s="12"/>
      <c r="AF429" s="12"/>
      <c r="AG429" s="7"/>
      <c r="AH429" s="7"/>
      <c r="AI429" s="5" t="s">
        <v>1399</v>
      </c>
    </row>
    <row r="430" customFormat="false" ht="15" hidden="false" customHeight="false" outlineLevel="0" collapsed="false">
      <c r="A430" s="5" t="s">
        <v>1095</v>
      </c>
      <c r="B430" s="5" t="s">
        <v>1400</v>
      </c>
      <c r="C430" s="5" t="s">
        <v>1401</v>
      </c>
      <c r="D430" s="5" t="s">
        <v>1095</v>
      </c>
      <c r="E430" s="5" t="s">
        <v>60</v>
      </c>
      <c r="F430" s="6" t="n">
        <v>14453.49</v>
      </c>
      <c r="G430" s="7" t="n">
        <v>455</v>
      </c>
      <c r="H430" s="8" t="n">
        <v>0.7725</v>
      </c>
      <c r="I430" s="8" t="n">
        <v>0.5582</v>
      </c>
      <c r="J430" s="7" t="n">
        <v>51</v>
      </c>
      <c r="K430" s="5" t="n">
        <v>6</v>
      </c>
      <c r="L430" s="5" t="n">
        <v>6</v>
      </c>
      <c r="M430" s="5" t="n">
        <v>4.4</v>
      </c>
      <c r="N430" s="9" t="s">
        <v>54</v>
      </c>
      <c r="O430" s="5"/>
      <c r="P430" s="5"/>
      <c r="Q430" s="5"/>
      <c r="R430" s="7"/>
      <c r="S430" s="7"/>
      <c r="T430" s="5"/>
      <c r="U430" s="6"/>
      <c r="V430" s="7"/>
      <c r="W430" s="5"/>
      <c r="X430" s="7"/>
      <c r="Y430" s="7"/>
      <c r="Z430" s="7"/>
      <c r="AA430" s="10"/>
      <c r="AB430" s="11"/>
      <c r="AC430" s="10"/>
      <c r="AD430" s="12"/>
      <c r="AE430" s="12"/>
      <c r="AF430" s="12"/>
      <c r="AG430" s="7"/>
      <c r="AH430" s="7"/>
      <c r="AI430" s="5" t="s">
        <v>1402</v>
      </c>
    </row>
    <row r="431" customFormat="false" ht="15" hidden="false" customHeight="false" outlineLevel="0" collapsed="false">
      <c r="A431" s="5" t="s">
        <v>1095</v>
      </c>
      <c r="B431" s="5" t="s">
        <v>1403</v>
      </c>
      <c r="C431" s="5" t="s">
        <v>1404</v>
      </c>
      <c r="D431" s="5" t="s">
        <v>449</v>
      </c>
      <c r="E431" s="5" t="s">
        <v>60</v>
      </c>
      <c r="F431" s="6" t="n">
        <v>14436.79</v>
      </c>
      <c r="G431" s="7" t="n">
        <v>569</v>
      </c>
      <c r="H431" s="8" t="n">
        <v>1.1127</v>
      </c>
      <c r="I431" s="8" t="n">
        <v>1.1718</v>
      </c>
      <c r="J431" s="7" t="n">
        <v>4</v>
      </c>
      <c r="K431" s="5" t="n">
        <v>12</v>
      </c>
      <c r="L431" s="5" t="n">
        <v>1118</v>
      </c>
      <c r="M431" s="5" t="n">
        <v>4.3</v>
      </c>
      <c r="N431" s="13" t="s">
        <v>61</v>
      </c>
      <c r="O431" s="5"/>
      <c r="P431" s="5"/>
      <c r="Q431" s="5"/>
      <c r="R431" s="7"/>
      <c r="S431" s="7"/>
      <c r="T431" s="5"/>
      <c r="U431" s="6"/>
      <c r="V431" s="7"/>
      <c r="W431" s="5"/>
      <c r="X431" s="7"/>
      <c r="Y431" s="7"/>
      <c r="Z431" s="7"/>
      <c r="AA431" s="10"/>
      <c r="AB431" s="11"/>
      <c r="AC431" s="10"/>
      <c r="AD431" s="12"/>
      <c r="AE431" s="12"/>
      <c r="AF431" s="12"/>
      <c r="AG431" s="7"/>
      <c r="AH431" s="7"/>
      <c r="AI431" s="5" t="s">
        <v>1405</v>
      </c>
    </row>
    <row r="432" customFormat="false" ht="15" hidden="false" customHeight="false" outlineLevel="0" collapsed="false">
      <c r="A432" s="5" t="s">
        <v>1095</v>
      </c>
      <c r="B432" s="5" t="s">
        <v>1406</v>
      </c>
      <c r="C432" s="5"/>
      <c r="D432" s="5" t="s">
        <v>1095</v>
      </c>
      <c r="E432" s="5" t="s">
        <v>53</v>
      </c>
      <c r="F432" s="6" t="n">
        <v>14396.91</v>
      </c>
      <c r="G432" s="7" t="n">
        <v>653</v>
      </c>
      <c r="H432" s="8" t="n">
        <v>0.2048</v>
      </c>
      <c r="I432" s="8" t="n">
        <v>0.0332</v>
      </c>
      <c r="J432" s="7" t="n">
        <v>125</v>
      </c>
      <c r="K432" s="5" t="n">
        <v>15</v>
      </c>
      <c r="L432" s="5" t="n">
        <v>1324</v>
      </c>
      <c r="M432" s="5" t="n">
        <v>4.1</v>
      </c>
      <c r="N432" s="9" t="s">
        <v>54</v>
      </c>
      <c r="O432" s="5"/>
      <c r="P432" s="5"/>
      <c r="Q432" s="5"/>
      <c r="R432" s="7"/>
      <c r="S432" s="7"/>
      <c r="T432" s="5"/>
      <c r="U432" s="6"/>
      <c r="V432" s="7"/>
      <c r="W432" s="5"/>
      <c r="X432" s="7"/>
      <c r="Y432" s="7"/>
      <c r="Z432" s="7"/>
      <c r="AA432" s="10"/>
      <c r="AB432" s="11"/>
      <c r="AC432" s="10"/>
      <c r="AD432" s="12"/>
      <c r="AE432" s="12"/>
      <c r="AF432" s="12"/>
      <c r="AG432" s="7"/>
      <c r="AH432" s="7"/>
      <c r="AI432" s="5" t="s">
        <v>1407</v>
      </c>
    </row>
    <row r="433" customFormat="false" ht="15" hidden="false" customHeight="false" outlineLevel="0" collapsed="false">
      <c r="A433" s="5" t="s">
        <v>1095</v>
      </c>
      <c r="B433" s="5" t="s">
        <v>1408</v>
      </c>
      <c r="C433" s="5" t="s">
        <v>1409</v>
      </c>
      <c r="D433" s="5" t="s">
        <v>1095</v>
      </c>
      <c r="E433" s="5" t="s">
        <v>53</v>
      </c>
      <c r="F433" s="6" t="n">
        <v>14321.91</v>
      </c>
      <c r="G433" s="7" t="n">
        <v>1115</v>
      </c>
      <c r="H433" s="8" t="n">
        <v>2.5665</v>
      </c>
      <c r="I433" s="8" t="n">
        <v>2.2413</v>
      </c>
      <c r="J433" s="7" t="n">
        <v>156</v>
      </c>
      <c r="K433" s="5" t="n">
        <v>19</v>
      </c>
      <c r="L433" s="5" t="n">
        <v>80</v>
      </c>
      <c r="M433" s="5" t="n">
        <v>3.9</v>
      </c>
      <c r="N433" s="9" t="s">
        <v>54</v>
      </c>
      <c r="O433" s="5"/>
      <c r="P433" s="5"/>
      <c r="Q433" s="5"/>
      <c r="R433" s="7"/>
      <c r="S433" s="7"/>
      <c r="T433" s="5"/>
      <c r="U433" s="6"/>
      <c r="V433" s="7"/>
      <c r="W433" s="5"/>
      <c r="X433" s="7"/>
      <c r="Y433" s="7"/>
      <c r="Z433" s="7"/>
      <c r="AA433" s="10"/>
      <c r="AB433" s="11"/>
      <c r="AC433" s="10"/>
      <c r="AD433" s="12"/>
      <c r="AE433" s="12"/>
      <c r="AF433" s="12"/>
      <c r="AG433" s="7"/>
      <c r="AH433" s="7"/>
      <c r="AI433" s="5" t="s">
        <v>1410</v>
      </c>
    </row>
    <row r="434" customFormat="false" ht="15" hidden="false" customHeight="false" outlineLevel="0" collapsed="false">
      <c r="A434" s="5" t="s">
        <v>1095</v>
      </c>
      <c r="B434" s="5" t="s">
        <v>1411</v>
      </c>
      <c r="C434" s="5"/>
      <c r="D434" s="5" t="s">
        <v>1095</v>
      </c>
      <c r="E434" s="5" t="s">
        <v>60</v>
      </c>
      <c r="F434" s="6" t="n">
        <v>14318.13</v>
      </c>
      <c r="G434" s="7" t="n">
        <v>702</v>
      </c>
      <c r="H434" s="8" t="n">
        <v>2.527</v>
      </c>
      <c r="I434" s="8" t="n">
        <v>2.148</v>
      </c>
      <c r="J434" s="7" t="n">
        <v>49</v>
      </c>
      <c r="K434" s="5" t="n">
        <v>37</v>
      </c>
      <c r="L434" s="5" t="n">
        <v>280</v>
      </c>
      <c r="M434" s="5" t="n">
        <v>4.6</v>
      </c>
      <c r="N434" s="9" t="s">
        <v>54</v>
      </c>
      <c r="O434" s="5"/>
      <c r="P434" s="5"/>
      <c r="Q434" s="5"/>
      <c r="R434" s="7"/>
      <c r="S434" s="7"/>
      <c r="T434" s="5"/>
      <c r="U434" s="6"/>
      <c r="V434" s="7"/>
      <c r="W434" s="5"/>
      <c r="X434" s="7"/>
      <c r="Y434" s="7"/>
      <c r="Z434" s="7"/>
      <c r="AA434" s="10"/>
      <c r="AB434" s="11"/>
      <c r="AC434" s="10"/>
      <c r="AD434" s="12"/>
      <c r="AE434" s="12"/>
      <c r="AF434" s="12"/>
      <c r="AG434" s="7"/>
      <c r="AH434" s="7"/>
      <c r="AI434" s="5" t="s">
        <v>1412</v>
      </c>
    </row>
    <row r="435" customFormat="false" ht="15" hidden="false" customHeight="false" outlineLevel="0" collapsed="false">
      <c r="A435" s="5" t="s">
        <v>1095</v>
      </c>
      <c r="B435" s="5" t="s">
        <v>1413</v>
      </c>
      <c r="C435" s="5" t="s">
        <v>1414</v>
      </c>
      <c r="D435" s="5" t="s">
        <v>1095</v>
      </c>
      <c r="E435" s="5" t="s">
        <v>53</v>
      </c>
      <c r="F435" s="6" t="n">
        <v>14228.54</v>
      </c>
      <c r="G435" s="7" t="n">
        <v>984</v>
      </c>
      <c r="H435" s="8" t="n">
        <v>-0.01</v>
      </c>
      <c r="I435" s="8" t="n">
        <v>-0.0914</v>
      </c>
      <c r="J435" s="7" t="n">
        <v>120</v>
      </c>
      <c r="K435" s="5" t="n">
        <v>38</v>
      </c>
      <c r="L435" s="5" t="n">
        <v>1085</v>
      </c>
      <c r="M435" s="5" t="n">
        <v>2.9</v>
      </c>
      <c r="N435" s="9" t="s">
        <v>54</v>
      </c>
      <c r="O435" s="5"/>
      <c r="P435" s="5"/>
      <c r="Q435" s="5"/>
      <c r="R435" s="7"/>
      <c r="S435" s="7"/>
      <c r="T435" s="5"/>
      <c r="U435" s="6"/>
      <c r="V435" s="7"/>
      <c r="W435" s="5"/>
      <c r="X435" s="7"/>
      <c r="Y435" s="7"/>
      <c r="Z435" s="7"/>
      <c r="AA435" s="10"/>
      <c r="AB435" s="11"/>
      <c r="AC435" s="10"/>
      <c r="AD435" s="12"/>
      <c r="AE435" s="12"/>
      <c r="AF435" s="12"/>
      <c r="AG435" s="7"/>
      <c r="AH435" s="7"/>
      <c r="AI435" s="5" t="s">
        <v>1415</v>
      </c>
    </row>
    <row r="436" customFormat="false" ht="15" hidden="false" customHeight="false" outlineLevel="0" collapsed="false">
      <c r="A436" s="5" t="s">
        <v>1095</v>
      </c>
      <c r="B436" s="5" t="s">
        <v>1416</v>
      </c>
      <c r="C436" s="5" t="s">
        <v>1417</v>
      </c>
      <c r="D436" s="5" t="s">
        <v>1095</v>
      </c>
      <c r="E436" s="5" t="s">
        <v>53</v>
      </c>
      <c r="F436" s="6" t="n">
        <v>14194.44</v>
      </c>
      <c r="G436" s="7" t="n">
        <v>744</v>
      </c>
      <c r="H436" s="8" t="n">
        <v>0.0268</v>
      </c>
      <c r="I436" s="8" t="n">
        <v>-0.1226</v>
      </c>
      <c r="J436" s="7" t="n">
        <v>313</v>
      </c>
      <c r="K436" s="5" t="n">
        <v>8</v>
      </c>
      <c r="L436" s="5" t="n">
        <v>26</v>
      </c>
      <c r="M436" s="5" t="n">
        <v>4.5</v>
      </c>
      <c r="N436" s="9" t="s">
        <v>54</v>
      </c>
      <c r="O436" s="5"/>
      <c r="P436" s="5"/>
      <c r="Q436" s="5"/>
      <c r="R436" s="7"/>
      <c r="S436" s="7"/>
      <c r="T436" s="5"/>
      <c r="U436" s="6"/>
      <c r="V436" s="7"/>
      <c r="W436" s="5"/>
      <c r="X436" s="7"/>
      <c r="Y436" s="7"/>
      <c r="Z436" s="7"/>
      <c r="AA436" s="10"/>
      <c r="AB436" s="11"/>
      <c r="AC436" s="10"/>
      <c r="AD436" s="12"/>
      <c r="AE436" s="12"/>
      <c r="AF436" s="12"/>
      <c r="AG436" s="7"/>
      <c r="AH436" s="7"/>
      <c r="AI436" s="5" t="s">
        <v>1418</v>
      </c>
    </row>
    <row r="437" customFormat="false" ht="15" hidden="false" customHeight="false" outlineLevel="0" collapsed="false">
      <c r="A437" s="5" t="s">
        <v>1095</v>
      </c>
      <c r="B437" s="5" t="s">
        <v>1419</v>
      </c>
      <c r="C437" s="5"/>
      <c r="D437" s="5" t="s">
        <v>1095</v>
      </c>
      <c r="E437" s="5" t="s">
        <v>53</v>
      </c>
      <c r="F437" s="6" t="n">
        <v>14039.26</v>
      </c>
      <c r="G437" s="7" t="n">
        <v>585</v>
      </c>
      <c r="H437" s="8" t="n">
        <v>0.6597</v>
      </c>
      <c r="I437" s="8" t="n">
        <v>0.5</v>
      </c>
      <c r="J437" s="7" t="n">
        <v>97</v>
      </c>
      <c r="K437" s="5" t="n">
        <v>14</v>
      </c>
      <c r="L437" s="5" t="n">
        <v>118</v>
      </c>
      <c r="M437" s="5" t="n">
        <v>4.4</v>
      </c>
      <c r="N437" s="9" t="s">
        <v>54</v>
      </c>
      <c r="O437" s="5"/>
      <c r="P437" s="5"/>
      <c r="Q437" s="5"/>
      <c r="R437" s="7"/>
      <c r="S437" s="7"/>
      <c r="T437" s="5"/>
      <c r="U437" s="6"/>
      <c r="V437" s="7"/>
      <c r="W437" s="5"/>
      <c r="X437" s="7"/>
      <c r="Y437" s="7"/>
      <c r="Z437" s="7"/>
      <c r="AA437" s="10"/>
      <c r="AB437" s="11"/>
      <c r="AC437" s="10"/>
      <c r="AD437" s="12"/>
      <c r="AE437" s="12"/>
      <c r="AF437" s="12"/>
      <c r="AG437" s="7"/>
      <c r="AH437" s="7"/>
      <c r="AI437" s="5" t="s">
        <v>1420</v>
      </c>
    </row>
    <row r="438" customFormat="false" ht="15" hidden="false" customHeight="false" outlineLevel="0" collapsed="false">
      <c r="A438" s="5" t="s">
        <v>1421</v>
      </c>
      <c r="B438" s="5" t="s">
        <v>1422</v>
      </c>
      <c r="C438" s="5" t="s">
        <v>1423</v>
      </c>
      <c r="D438" s="5" t="s">
        <v>1421</v>
      </c>
      <c r="E438" s="5" t="s">
        <v>60</v>
      </c>
      <c r="F438" s="6" t="n">
        <v>15722.89</v>
      </c>
      <c r="G438" s="7" t="n">
        <v>1571</v>
      </c>
      <c r="H438" s="8" t="n">
        <v>0.4222</v>
      </c>
      <c r="I438" s="8" t="n">
        <v>0.2983</v>
      </c>
      <c r="J438" s="7" t="n">
        <v>161</v>
      </c>
      <c r="K438" s="5" t="n">
        <v>20</v>
      </c>
      <c r="L438" s="5" t="n">
        <v>29</v>
      </c>
      <c r="M438" s="5" t="n">
        <v>4.1</v>
      </c>
      <c r="N438" s="9" t="s">
        <v>54</v>
      </c>
      <c r="O438" s="5"/>
      <c r="P438" s="5"/>
      <c r="Q438" s="5"/>
      <c r="R438" s="7"/>
      <c r="S438" s="7"/>
      <c r="T438" s="5"/>
      <c r="U438" s="6"/>
      <c r="V438" s="7"/>
      <c r="W438" s="5"/>
      <c r="X438" s="7"/>
      <c r="Y438" s="7"/>
      <c r="Z438" s="7"/>
      <c r="AA438" s="10"/>
      <c r="AB438" s="11"/>
      <c r="AC438" s="10"/>
      <c r="AD438" s="12"/>
      <c r="AE438" s="12"/>
      <c r="AF438" s="12"/>
      <c r="AG438" s="7"/>
      <c r="AH438" s="7"/>
      <c r="AI438" s="5" t="s">
        <v>1424</v>
      </c>
    </row>
    <row r="439" customFormat="false" ht="15" hidden="false" customHeight="false" outlineLevel="0" collapsed="false">
      <c r="A439" s="5" t="s">
        <v>1421</v>
      </c>
      <c r="B439" s="5" t="s">
        <v>1425</v>
      </c>
      <c r="C439" s="5" t="s">
        <v>1426</v>
      </c>
      <c r="D439" s="5" t="s">
        <v>449</v>
      </c>
      <c r="E439" s="5" t="s">
        <v>60</v>
      </c>
      <c r="F439" s="6" t="n">
        <v>15572.6</v>
      </c>
      <c r="G439" s="7" t="n">
        <v>320</v>
      </c>
      <c r="H439" s="8" t="n">
        <v>-0.1835</v>
      </c>
      <c r="I439" s="8" t="n">
        <v>-0.2176</v>
      </c>
      <c r="J439" s="7" t="n">
        <v>58</v>
      </c>
      <c r="K439" s="5" t="n">
        <v>5</v>
      </c>
      <c r="L439" s="5" t="n">
        <v>118</v>
      </c>
      <c r="M439" s="5" t="n">
        <v>3.8</v>
      </c>
      <c r="N439" s="13" t="s">
        <v>61</v>
      </c>
      <c r="O439" s="5"/>
      <c r="P439" s="5"/>
      <c r="Q439" s="5"/>
      <c r="R439" s="7"/>
      <c r="S439" s="7"/>
      <c r="T439" s="5"/>
      <c r="U439" s="6"/>
      <c r="V439" s="7"/>
      <c r="W439" s="5"/>
      <c r="X439" s="7"/>
      <c r="Y439" s="7"/>
      <c r="Z439" s="7"/>
      <c r="AA439" s="10"/>
      <c r="AB439" s="11"/>
      <c r="AC439" s="10"/>
      <c r="AD439" s="12"/>
      <c r="AE439" s="12"/>
      <c r="AF439" s="12"/>
      <c r="AG439" s="7"/>
      <c r="AH439" s="7"/>
      <c r="AI439" s="5" t="s">
        <v>1427</v>
      </c>
    </row>
    <row r="440" customFormat="false" ht="15" hidden="false" customHeight="false" outlineLevel="0" collapsed="false">
      <c r="A440" s="5" t="s">
        <v>1421</v>
      </c>
      <c r="B440" s="5" t="s">
        <v>1428</v>
      </c>
      <c r="C440" s="5" t="s">
        <v>1428</v>
      </c>
      <c r="D440" s="5" t="s">
        <v>1421</v>
      </c>
      <c r="E440" s="5" t="s">
        <v>60</v>
      </c>
      <c r="F440" s="6" t="n">
        <v>15569.11</v>
      </c>
      <c r="G440" s="7" t="n">
        <v>382</v>
      </c>
      <c r="H440" s="8" t="n">
        <v>0.3263</v>
      </c>
      <c r="I440" s="8" t="n">
        <v>0.0822</v>
      </c>
      <c r="J440" s="7" t="n">
        <v>187</v>
      </c>
      <c r="K440" s="5" t="n">
        <v>37</v>
      </c>
      <c r="L440" s="5" t="n">
        <v>111</v>
      </c>
      <c r="M440" s="5" t="n">
        <v>4.3</v>
      </c>
      <c r="N440" s="9" t="s">
        <v>54</v>
      </c>
      <c r="O440" s="5"/>
      <c r="P440" s="5"/>
      <c r="Q440" s="5"/>
      <c r="R440" s="7"/>
      <c r="S440" s="7"/>
      <c r="T440" s="5"/>
      <c r="U440" s="6"/>
      <c r="V440" s="7"/>
      <c r="W440" s="5"/>
      <c r="X440" s="7"/>
      <c r="Y440" s="7"/>
      <c r="Z440" s="7"/>
      <c r="AA440" s="10"/>
      <c r="AB440" s="11"/>
      <c r="AC440" s="10"/>
      <c r="AD440" s="12"/>
      <c r="AE440" s="12"/>
      <c r="AF440" s="12"/>
      <c r="AG440" s="7"/>
      <c r="AH440" s="7"/>
      <c r="AI440" s="5" t="s">
        <v>1429</v>
      </c>
    </row>
    <row r="441" customFormat="false" ht="15" hidden="false" customHeight="false" outlineLevel="0" collapsed="false">
      <c r="A441" s="5" t="s">
        <v>1421</v>
      </c>
      <c r="B441" s="5" t="s">
        <v>1430</v>
      </c>
      <c r="C441" s="5" t="s">
        <v>1431</v>
      </c>
      <c r="D441" s="5" t="s">
        <v>1421</v>
      </c>
      <c r="E441" s="5" t="s">
        <v>60</v>
      </c>
      <c r="F441" s="6" t="n">
        <v>15392.43</v>
      </c>
      <c r="G441" s="7" t="n">
        <v>499</v>
      </c>
      <c r="H441" s="8" t="n">
        <v>0.3167</v>
      </c>
      <c r="I441" s="8" t="n">
        <v>0.1659</v>
      </c>
      <c r="J441" s="7" t="n">
        <v>308</v>
      </c>
      <c r="K441" s="5" t="n">
        <v>14</v>
      </c>
      <c r="L441" s="5" t="n">
        <v>18</v>
      </c>
      <c r="M441" s="5" t="n">
        <v>3.9</v>
      </c>
      <c r="N441" s="9" t="s">
        <v>54</v>
      </c>
      <c r="O441" s="5"/>
      <c r="P441" s="5" t="s">
        <v>1432</v>
      </c>
      <c r="Q441" s="14" t="s">
        <v>1433</v>
      </c>
      <c r="R441" s="7" t="n">
        <v>16647</v>
      </c>
      <c r="S441" s="7" t="n">
        <v>2174</v>
      </c>
      <c r="T441" s="5" t="s">
        <v>1434</v>
      </c>
      <c r="U441" s="6" t="n">
        <v>509551.11</v>
      </c>
      <c r="V441" s="7" t="n">
        <v>31668</v>
      </c>
      <c r="W441" s="5" t="n">
        <v>36</v>
      </c>
      <c r="X441" s="7" t="n">
        <v>335</v>
      </c>
      <c r="Y441" s="7" t="n">
        <v>3439</v>
      </c>
      <c r="Z441" s="7" t="n">
        <v>429</v>
      </c>
      <c r="AA441" s="10" t="n">
        <v>2.77</v>
      </c>
      <c r="AB441" s="11" t="n">
        <v>39.9</v>
      </c>
      <c r="AC441" s="10" t="n">
        <v>14.57</v>
      </c>
      <c r="AD441" s="12" t="n">
        <v>0.68</v>
      </c>
      <c r="AE441" s="12" t="n">
        <v>0.87</v>
      </c>
      <c r="AF441" s="12" t="n">
        <v>1</v>
      </c>
      <c r="AG441" s="7" t="n">
        <v>29</v>
      </c>
      <c r="AH441" s="7" t="n">
        <v>2464</v>
      </c>
      <c r="AI441" s="5" t="s">
        <v>1435</v>
      </c>
    </row>
    <row r="442" customFormat="false" ht="15" hidden="false" customHeight="false" outlineLevel="0" collapsed="false">
      <c r="A442" s="5" t="s">
        <v>1421</v>
      </c>
      <c r="B442" s="5" t="s">
        <v>1436</v>
      </c>
      <c r="C442" s="5" t="s">
        <v>1436</v>
      </c>
      <c r="D442" s="5" t="s">
        <v>449</v>
      </c>
      <c r="E442" s="5" t="s">
        <v>60</v>
      </c>
      <c r="F442" s="6" t="n">
        <v>15254.48</v>
      </c>
      <c r="G442" s="7" t="n">
        <v>343</v>
      </c>
      <c r="H442" s="8" t="n">
        <v>0.0764</v>
      </c>
      <c r="I442" s="8" t="n">
        <v>0.0426</v>
      </c>
      <c r="J442" s="7" t="n">
        <v>30</v>
      </c>
      <c r="K442" s="5" t="n">
        <v>17</v>
      </c>
      <c r="L442" s="5" t="n">
        <v>315</v>
      </c>
      <c r="M442" s="5" t="n">
        <v>3.9</v>
      </c>
      <c r="N442" s="13" t="s">
        <v>61</v>
      </c>
      <c r="O442" s="5"/>
      <c r="P442" s="5"/>
      <c r="Q442" s="5"/>
      <c r="R442" s="7"/>
      <c r="S442" s="7"/>
      <c r="T442" s="5"/>
      <c r="U442" s="6"/>
      <c r="V442" s="7"/>
      <c r="W442" s="5"/>
      <c r="X442" s="7"/>
      <c r="Y442" s="7"/>
      <c r="Z442" s="7"/>
      <c r="AA442" s="10"/>
      <c r="AB442" s="11"/>
      <c r="AC442" s="10"/>
      <c r="AD442" s="12"/>
      <c r="AE442" s="12"/>
      <c r="AF442" s="12"/>
      <c r="AG442" s="7"/>
      <c r="AH442" s="7"/>
      <c r="AI442" s="5" t="s">
        <v>1437</v>
      </c>
    </row>
    <row r="443" customFormat="false" ht="15" hidden="false" customHeight="false" outlineLevel="0" collapsed="false">
      <c r="A443" s="5" t="s">
        <v>1421</v>
      </c>
      <c r="B443" s="5" t="s">
        <v>1438</v>
      </c>
      <c r="C443" s="5"/>
      <c r="D443" s="5" t="s">
        <v>1421</v>
      </c>
      <c r="E443" s="5" t="s">
        <v>60</v>
      </c>
      <c r="F443" s="6" t="n">
        <v>15190.99</v>
      </c>
      <c r="G443" s="7" t="n">
        <v>898</v>
      </c>
      <c r="H443" s="8" t="n">
        <v>0.8942</v>
      </c>
      <c r="I443" s="8" t="n">
        <v>0.8439</v>
      </c>
      <c r="J443" s="7" t="n">
        <v>0</v>
      </c>
      <c r="K443" s="5" t="n">
        <v>1</v>
      </c>
      <c r="L443" s="5" t="n">
        <v>3</v>
      </c>
      <c r="M443" s="5" t="n">
        <v>4.4</v>
      </c>
      <c r="N443" s="9" t="s">
        <v>54</v>
      </c>
      <c r="O443" s="5"/>
      <c r="P443" s="5"/>
      <c r="Q443" s="5"/>
      <c r="R443" s="7"/>
      <c r="S443" s="7"/>
      <c r="T443" s="5"/>
      <c r="U443" s="6"/>
      <c r="V443" s="7"/>
      <c r="W443" s="5"/>
      <c r="X443" s="7"/>
      <c r="Y443" s="7"/>
      <c r="Z443" s="7"/>
      <c r="AA443" s="10"/>
      <c r="AB443" s="11"/>
      <c r="AC443" s="10"/>
      <c r="AD443" s="12"/>
      <c r="AE443" s="12"/>
      <c r="AF443" s="12"/>
      <c r="AG443" s="7"/>
      <c r="AH443" s="7"/>
      <c r="AI443" s="5" t="s">
        <v>1439</v>
      </c>
    </row>
    <row r="444" customFormat="false" ht="15" hidden="false" customHeight="false" outlineLevel="0" collapsed="false">
      <c r="A444" s="5" t="s">
        <v>1421</v>
      </c>
      <c r="B444" s="5" t="s">
        <v>1440</v>
      </c>
      <c r="C444" s="5" t="s">
        <v>1441</v>
      </c>
      <c r="D444" s="5" t="s">
        <v>1421</v>
      </c>
      <c r="E444" s="5" t="s">
        <v>60</v>
      </c>
      <c r="F444" s="6" t="n">
        <v>14715.25</v>
      </c>
      <c r="G444" s="7" t="n">
        <v>616</v>
      </c>
      <c r="H444" s="8" t="n">
        <v>0.802</v>
      </c>
      <c r="I444" s="8" t="n">
        <v>0.5635</v>
      </c>
      <c r="J444" s="7" t="n">
        <v>231</v>
      </c>
      <c r="K444" s="5" t="n">
        <v>12</v>
      </c>
      <c r="L444" s="5" t="n">
        <v>17</v>
      </c>
      <c r="M444" s="5" t="n">
        <v>4.1</v>
      </c>
      <c r="N444" s="9" t="s">
        <v>54</v>
      </c>
      <c r="O444" s="5"/>
      <c r="P444" s="5" t="s">
        <v>1442</v>
      </c>
      <c r="Q444" s="14" t="s">
        <v>1443</v>
      </c>
      <c r="R444" s="7" t="n">
        <v>27155</v>
      </c>
      <c r="S444" s="7" t="n">
        <v>1591</v>
      </c>
      <c r="T444" s="5" t="s">
        <v>1444</v>
      </c>
      <c r="U444" s="6" t="n">
        <v>693287.38</v>
      </c>
      <c r="V444" s="7" t="n">
        <v>61692</v>
      </c>
      <c r="W444" s="5" t="n">
        <v>832</v>
      </c>
      <c r="X444" s="7" t="n">
        <v>504</v>
      </c>
      <c r="Y444" s="7" t="n">
        <v>1708</v>
      </c>
      <c r="Z444" s="7" t="n">
        <v>504</v>
      </c>
      <c r="AA444" s="10" t="n">
        <v>1</v>
      </c>
      <c r="AB444" s="11" t="n">
        <v>49.99</v>
      </c>
      <c r="AC444" s="10" t="n">
        <v>14.4</v>
      </c>
      <c r="AD444" s="12" t="n">
        <v>0.67</v>
      </c>
      <c r="AE444" s="12" t="n">
        <v>0.93</v>
      </c>
      <c r="AF444" s="12" t="n">
        <v>0.92</v>
      </c>
      <c r="AG444" s="7" t="n">
        <v>28</v>
      </c>
      <c r="AH444" s="7" t="n">
        <v>2458</v>
      </c>
      <c r="AI444" s="5" t="s">
        <v>1445</v>
      </c>
    </row>
    <row r="445" customFormat="false" ht="15" hidden="false" customHeight="false" outlineLevel="0" collapsed="false">
      <c r="A445" s="5" t="s">
        <v>1421</v>
      </c>
      <c r="B445" s="5" t="s">
        <v>1446</v>
      </c>
      <c r="C445" s="5" t="s">
        <v>1447</v>
      </c>
      <c r="D445" s="5" t="s">
        <v>1421</v>
      </c>
      <c r="E445" s="5" t="s">
        <v>60</v>
      </c>
      <c r="F445" s="6" t="n">
        <v>14672.94</v>
      </c>
      <c r="G445" s="7" t="n">
        <v>667</v>
      </c>
      <c r="H445" s="8" t="n">
        <v>1.0819</v>
      </c>
      <c r="I445" s="8" t="n">
        <v>0.9734</v>
      </c>
      <c r="J445" s="7" t="n">
        <v>170</v>
      </c>
      <c r="K445" s="5" t="n">
        <v>21</v>
      </c>
      <c r="L445" s="5" t="n">
        <v>68</v>
      </c>
      <c r="M445" s="5" t="n">
        <v>4.6</v>
      </c>
      <c r="N445" s="9" t="s">
        <v>54</v>
      </c>
      <c r="O445" s="5"/>
      <c r="P445" s="5"/>
      <c r="Q445" s="5"/>
      <c r="R445" s="7"/>
      <c r="S445" s="7"/>
      <c r="T445" s="5"/>
      <c r="U445" s="6"/>
      <c r="V445" s="7"/>
      <c r="W445" s="5"/>
      <c r="X445" s="7"/>
      <c r="Y445" s="7"/>
      <c r="Z445" s="7"/>
      <c r="AA445" s="10"/>
      <c r="AB445" s="11"/>
      <c r="AC445" s="10"/>
      <c r="AD445" s="12"/>
      <c r="AE445" s="12"/>
      <c r="AF445" s="12"/>
      <c r="AG445" s="7"/>
      <c r="AH445" s="7"/>
      <c r="AI445" s="5" t="s">
        <v>1448</v>
      </c>
    </row>
    <row r="446" customFormat="false" ht="15" hidden="false" customHeight="false" outlineLevel="0" collapsed="false">
      <c r="A446" s="5" t="s">
        <v>1421</v>
      </c>
      <c r="B446" s="5" t="s">
        <v>1449</v>
      </c>
      <c r="C446" s="5"/>
      <c r="D446" s="5" t="s">
        <v>1421</v>
      </c>
      <c r="E446" s="5" t="s">
        <v>60</v>
      </c>
      <c r="F446" s="6" t="n">
        <v>14240.68</v>
      </c>
      <c r="G446" s="7" t="n">
        <v>616</v>
      </c>
      <c r="H446" s="8" t="n">
        <v>0.74</v>
      </c>
      <c r="I446" s="8" t="n">
        <v>0.919</v>
      </c>
      <c r="J446" s="7" t="n">
        <v>53</v>
      </c>
      <c r="K446" s="5" t="n">
        <v>9</v>
      </c>
      <c r="L446" s="5" t="n">
        <v>53</v>
      </c>
      <c r="M446" s="5" t="n">
        <v>4.2</v>
      </c>
      <c r="N446" s="9" t="s">
        <v>54</v>
      </c>
      <c r="O446" s="5"/>
      <c r="P446" s="5"/>
      <c r="Q446" s="5"/>
      <c r="R446" s="7"/>
      <c r="S446" s="7"/>
      <c r="T446" s="5"/>
      <c r="U446" s="6"/>
      <c r="V446" s="7"/>
      <c r="W446" s="5"/>
      <c r="X446" s="7"/>
      <c r="Y446" s="7"/>
      <c r="Z446" s="7"/>
      <c r="AA446" s="10"/>
      <c r="AB446" s="11"/>
      <c r="AC446" s="10"/>
      <c r="AD446" s="12"/>
      <c r="AE446" s="12"/>
      <c r="AF446" s="12"/>
      <c r="AG446" s="7"/>
      <c r="AH446" s="7"/>
      <c r="AI446" s="5" t="s">
        <v>1450</v>
      </c>
    </row>
    <row r="447" customFormat="false" ht="15" hidden="false" customHeight="false" outlineLevel="0" collapsed="false">
      <c r="A447" s="5" t="s">
        <v>1421</v>
      </c>
      <c r="B447" s="5" t="s">
        <v>1451</v>
      </c>
      <c r="C447" s="5"/>
      <c r="D447" s="5" t="s">
        <v>1421</v>
      </c>
      <c r="E447" s="5" t="s">
        <v>60</v>
      </c>
      <c r="F447" s="6" t="n">
        <v>13902.63</v>
      </c>
      <c r="G447" s="7" t="n">
        <v>498</v>
      </c>
      <c r="H447" s="8" t="n">
        <v>0.5084</v>
      </c>
      <c r="I447" s="8" t="n">
        <v>0.5045</v>
      </c>
      <c r="J447" s="7" t="n">
        <v>226</v>
      </c>
      <c r="K447" s="5" t="n">
        <v>22</v>
      </c>
      <c r="L447" s="5" t="n">
        <v>47</v>
      </c>
      <c r="M447" s="5" t="n">
        <v>4.2</v>
      </c>
      <c r="N447" s="9" t="s">
        <v>54</v>
      </c>
      <c r="O447" s="5"/>
      <c r="P447" s="5"/>
      <c r="Q447" s="5"/>
      <c r="R447" s="7"/>
      <c r="S447" s="7"/>
      <c r="T447" s="5"/>
      <c r="U447" s="6"/>
      <c r="V447" s="7"/>
      <c r="W447" s="5"/>
      <c r="X447" s="7"/>
      <c r="Y447" s="7"/>
      <c r="Z447" s="7"/>
      <c r="AA447" s="10"/>
      <c r="AB447" s="11"/>
      <c r="AC447" s="10"/>
      <c r="AD447" s="12"/>
      <c r="AE447" s="12"/>
      <c r="AF447" s="12"/>
      <c r="AG447" s="7"/>
      <c r="AH447" s="7"/>
      <c r="AI447" s="5" t="s">
        <v>1452</v>
      </c>
    </row>
    <row r="448" customFormat="false" ht="15" hidden="false" customHeight="false" outlineLevel="0" collapsed="false">
      <c r="A448" s="5" t="s">
        <v>1421</v>
      </c>
      <c r="B448" s="5" t="s">
        <v>1453</v>
      </c>
      <c r="C448" s="5"/>
      <c r="D448" s="5" t="s">
        <v>1421</v>
      </c>
      <c r="E448" s="5" t="s">
        <v>60</v>
      </c>
      <c r="F448" s="6" t="n">
        <v>13732.53</v>
      </c>
      <c r="G448" s="7" t="n">
        <v>585</v>
      </c>
      <c r="H448" s="8" t="n">
        <v>0.0597</v>
      </c>
      <c r="I448" s="8" t="n">
        <v>0.0598</v>
      </c>
      <c r="J448" s="7" t="n">
        <v>212</v>
      </c>
      <c r="K448" s="5" t="n">
        <v>30</v>
      </c>
      <c r="L448" s="5" t="n">
        <v>57</v>
      </c>
      <c r="M448" s="5" t="n">
        <v>3.7</v>
      </c>
      <c r="N448" s="9" t="s">
        <v>54</v>
      </c>
      <c r="O448" s="5" t="s">
        <v>258</v>
      </c>
      <c r="P448" s="5"/>
      <c r="Q448" s="5"/>
      <c r="R448" s="7"/>
      <c r="S448" s="7"/>
      <c r="T448" s="5" t="s">
        <v>1454</v>
      </c>
      <c r="U448" s="6" t="n">
        <v>34103.02</v>
      </c>
      <c r="V448" s="7" t="n">
        <v>1813</v>
      </c>
      <c r="W448" s="5" t="n">
        <v>46</v>
      </c>
      <c r="X448" s="7" t="n">
        <v>179</v>
      </c>
      <c r="Y448" s="7" t="n">
        <v>353</v>
      </c>
      <c r="Z448" s="7" t="n">
        <v>111</v>
      </c>
      <c r="AA448" s="10" t="n">
        <v>6.77</v>
      </c>
      <c r="AB448" s="11" t="n">
        <v>26.59</v>
      </c>
      <c r="AC448" s="10"/>
      <c r="AD448" s="12"/>
      <c r="AE448" s="12"/>
      <c r="AF448" s="12"/>
      <c r="AG448" s="7" t="n">
        <v>41</v>
      </c>
      <c r="AH448" s="7" t="n">
        <v>2983</v>
      </c>
      <c r="AI448" s="5" t="s">
        <v>1455</v>
      </c>
    </row>
    <row r="449" customFormat="false" ht="15" hidden="false" customHeight="false" outlineLevel="0" collapsed="false">
      <c r="A449" s="5" t="s">
        <v>1421</v>
      </c>
      <c r="B449" s="5" t="s">
        <v>1456</v>
      </c>
      <c r="C449" s="5"/>
      <c r="D449" s="5" t="s">
        <v>1421</v>
      </c>
      <c r="E449" s="5" t="s">
        <v>53</v>
      </c>
      <c r="F449" s="6" t="n">
        <v>13701.18</v>
      </c>
      <c r="G449" s="7" t="n">
        <v>187</v>
      </c>
      <c r="H449" s="8" t="n">
        <v>0.5156</v>
      </c>
      <c r="I449" s="8" t="n">
        <v>0.2467</v>
      </c>
      <c r="J449" s="7" t="n">
        <v>311</v>
      </c>
      <c r="K449" s="5" t="n">
        <v>14</v>
      </c>
      <c r="L449" s="5" t="n">
        <v>41</v>
      </c>
      <c r="M449" s="5" t="n">
        <v>4.2</v>
      </c>
      <c r="N449" s="9" t="s">
        <v>54</v>
      </c>
      <c r="O449" s="5"/>
      <c r="P449" s="5"/>
      <c r="Q449" s="5"/>
      <c r="R449" s="7"/>
      <c r="S449" s="7"/>
      <c r="T449" s="5"/>
      <c r="U449" s="6"/>
      <c r="V449" s="7"/>
      <c r="W449" s="5"/>
      <c r="X449" s="7"/>
      <c r="Y449" s="7"/>
      <c r="Z449" s="7"/>
      <c r="AA449" s="10"/>
      <c r="AB449" s="11"/>
      <c r="AC449" s="10"/>
      <c r="AD449" s="12"/>
      <c r="AE449" s="12"/>
      <c r="AF449" s="12"/>
      <c r="AG449" s="7"/>
      <c r="AH449" s="7"/>
      <c r="AI449" s="5" t="s">
        <v>1457</v>
      </c>
    </row>
    <row r="450" customFormat="false" ht="15" hidden="false" customHeight="false" outlineLevel="0" collapsed="false">
      <c r="A450" s="5" t="s">
        <v>1421</v>
      </c>
      <c r="B450" s="5" t="s">
        <v>1458</v>
      </c>
      <c r="C450" s="5"/>
      <c r="D450" s="5" t="s">
        <v>1421</v>
      </c>
      <c r="E450" s="5" t="s">
        <v>53</v>
      </c>
      <c r="F450" s="6" t="n">
        <v>13413.6</v>
      </c>
      <c r="G450" s="7" t="n">
        <v>2803</v>
      </c>
      <c r="H450" s="8" t="n">
        <v>2.713</v>
      </c>
      <c r="I450" s="8" t="n">
        <v>2.1041</v>
      </c>
      <c r="J450" s="7" t="n">
        <v>98</v>
      </c>
      <c r="K450" s="5" t="n">
        <v>10</v>
      </c>
      <c r="L450" s="5" t="n">
        <v>37</v>
      </c>
      <c r="M450" s="5" t="n">
        <v>4.9</v>
      </c>
      <c r="N450" s="9" t="s">
        <v>54</v>
      </c>
      <c r="O450" s="5"/>
      <c r="P450" s="5"/>
      <c r="Q450" s="5"/>
      <c r="R450" s="7"/>
      <c r="S450" s="7"/>
      <c r="T450" s="5"/>
      <c r="U450" s="6"/>
      <c r="V450" s="7"/>
      <c r="W450" s="5"/>
      <c r="X450" s="7"/>
      <c r="Y450" s="7"/>
      <c r="Z450" s="7"/>
      <c r="AA450" s="10"/>
      <c r="AB450" s="11"/>
      <c r="AC450" s="10"/>
      <c r="AD450" s="12"/>
      <c r="AE450" s="12"/>
      <c r="AF450" s="12"/>
      <c r="AG450" s="7"/>
      <c r="AH450" s="7"/>
      <c r="AI450" s="5" t="s">
        <v>1459</v>
      </c>
    </row>
    <row r="451" customFormat="false" ht="15" hidden="false" customHeight="false" outlineLevel="0" collapsed="false">
      <c r="A451" s="5" t="s">
        <v>1421</v>
      </c>
      <c r="B451" s="5" t="s">
        <v>1460</v>
      </c>
      <c r="C451" s="5" t="s">
        <v>1461</v>
      </c>
      <c r="D451" s="5" t="s">
        <v>1421</v>
      </c>
      <c r="E451" s="5" t="s">
        <v>53</v>
      </c>
      <c r="F451" s="6" t="n">
        <v>13210.85</v>
      </c>
      <c r="G451" s="7" t="n">
        <v>342</v>
      </c>
      <c r="H451" s="8" t="n">
        <v>-0.3221</v>
      </c>
      <c r="I451" s="8" t="n">
        <v>-0.3307</v>
      </c>
      <c r="J451" s="7" t="n">
        <v>403</v>
      </c>
      <c r="K451" s="5" t="n">
        <v>17</v>
      </c>
      <c r="L451" s="5" t="n">
        <v>17</v>
      </c>
      <c r="M451" s="5" t="n">
        <v>4.3</v>
      </c>
      <c r="N451" s="9" t="s">
        <v>54</v>
      </c>
      <c r="O451" s="5"/>
      <c r="P451" s="5"/>
      <c r="Q451" s="5"/>
      <c r="R451" s="7"/>
      <c r="S451" s="7"/>
      <c r="T451" s="5"/>
      <c r="U451" s="6"/>
      <c r="V451" s="7"/>
      <c r="W451" s="5"/>
      <c r="X451" s="7"/>
      <c r="Y451" s="7"/>
      <c r="Z451" s="7"/>
      <c r="AA451" s="10"/>
      <c r="AB451" s="11"/>
      <c r="AC451" s="10"/>
      <c r="AD451" s="12"/>
      <c r="AE451" s="12"/>
      <c r="AF451" s="12"/>
      <c r="AG451" s="7"/>
      <c r="AH451" s="7"/>
      <c r="AI451" s="5" t="s">
        <v>1462</v>
      </c>
    </row>
    <row r="452" customFormat="false" ht="15" hidden="false" customHeight="false" outlineLevel="0" collapsed="false">
      <c r="A452" s="5" t="s">
        <v>1421</v>
      </c>
      <c r="B452" s="5" t="s">
        <v>1463</v>
      </c>
      <c r="C452" s="5"/>
      <c r="D452" s="5" t="s">
        <v>1421</v>
      </c>
      <c r="E452" s="5" t="s">
        <v>60</v>
      </c>
      <c r="F452" s="6" t="n">
        <v>12905.04</v>
      </c>
      <c r="G452" s="7" t="n">
        <v>256</v>
      </c>
      <c r="H452" s="8" t="n">
        <v>-0.0866</v>
      </c>
      <c r="I452" s="8" t="n">
        <v>-0.1351</v>
      </c>
      <c r="J452" s="7" t="n">
        <v>76</v>
      </c>
      <c r="K452" s="5" t="n">
        <v>15</v>
      </c>
      <c r="L452" s="5" t="n">
        <v>29</v>
      </c>
      <c r="M452" s="5" t="n">
        <v>3.9</v>
      </c>
      <c r="N452" s="9" t="s">
        <v>54</v>
      </c>
      <c r="O452" s="5"/>
      <c r="P452" s="5"/>
      <c r="Q452" s="5"/>
      <c r="R452" s="7"/>
      <c r="S452" s="7"/>
      <c r="T452" s="5"/>
      <c r="U452" s="6"/>
      <c r="V452" s="7"/>
      <c r="W452" s="5"/>
      <c r="X452" s="7"/>
      <c r="Y452" s="7"/>
      <c r="Z452" s="7"/>
      <c r="AA452" s="10"/>
      <c r="AB452" s="11"/>
      <c r="AC452" s="10"/>
      <c r="AD452" s="12"/>
      <c r="AE452" s="12"/>
      <c r="AF452" s="12"/>
      <c r="AG452" s="7"/>
      <c r="AH452" s="7"/>
      <c r="AI452" s="5" t="s">
        <v>1464</v>
      </c>
    </row>
    <row r="453" customFormat="false" ht="15" hidden="false" customHeight="false" outlineLevel="0" collapsed="false">
      <c r="A453" s="5" t="s">
        <v>1421</v>
      </c>
      <c r="B453" s="5" t="s">
        <v>1465</v>
      </c>
      <c r="C453" s="5" t="s">
        <v>1466</v>
      </c>
      <c r="D453" s="5" t="s">
        <v>1421</v>
      </c>
      <c r="E453" s="5" t="s">
        <v>53</v>
      </c>
      <c r="F453" s="6" t="n">
        <v>11976.33</v>
      </c>
      <c r="G453" s="7" t="n">
        <v>436</v>
      </c>
      <c r="H453" s="8" t="n">
        <v>-0.3582</v>
      </c>
      <c r="I453" s="8" t="n">
        <v>-0.3859</v>
      </c>
      <c r="J453" s="7" t="n">
        <v>501</v>
      </c>
      <c r="K453" s="5" t="n">
        <v>33</v>
      </c>
      <c r="L453" s="5" t="n">
        <v>107</v>
      </c>
      <c r="M453" s="5" t="n">
        <v>4.3</v>
      </c>
      <c r="N453" s="9" t="s">
        <v>54</v>
      </c>
      <c r="O453" s="5"/>
      <c r="P453" s="5"/>
      <c r="Q453" s="5"/>
      <c r="R453" s="7"/>
      <c r="S453" s="7"/>
      <c r="T453" s="5"/>
      <c r="U453" s="6"/>
      <c r="V453" s="7"/>
      <c r="W453" s="5"/>
      <c r="X453" s="7"/>
      <c r="Y453" s="7"/>
      <c r="Z453" s="7"/>
      <c r="AA453" s="10"/>
      <c r="AB453" s="11"/>
      <c r="AC453" s="10"/>
      <c r="AD453" s="12"/>
      <c r="AE453" s="12"/>
      <c r="AF453" s="12"/>
      <c r="AG453" s="7"/>
      <c r="AH453" s="7"/>
      <c r="AI453" s="5" t="s">
        <v>1467</v>
      </c>
    </row>
    <row r="454" customFormat="false" ht="15" hidden="false" customHeight="false" outlineLevel="0" collapsed="false">
      <c r="A454" s="5" t="s">
        <v>1421</v>
      </c>
      <c r="B454" s="5" t="s">
        <v>1468</v>
      </c>
      <c r="C454" s="5" t="s">
        <v>1468</v>
      </c>
      <c r="D454" s="5" t="s">
        <v>449</v>
      </c>
      <c r="E454" s="5" t="s">
        <v>60</v>
      </c>
      <c r="F454" s="6" t="n">
        <v>11348.03</v>
      </c>
      <c r="G454" s="7" t="n">
        <v>522</v>
      </c>
      <c r="H454" s="8" t="n">
        <v>0.0946</v>
      </c>
      <c r="I454" s="8" t="n">
        <v>0.0038</v>
      </c>
      <c r="J454" s="7" t="n">
        <v>58</v>
      </c>
      <c r="K454" s="5" t="n">
        <v>6</v>
      </c>
      <c r="L454" s="5" t="n">
        <v>102</v>
      </c>
      <c r="M454" s="5" t="n">
        <v>4.1</v>
      </c>
      <c r="N454" s="13" t="s">
        <v>61</v>
      </c>
      <c r="O454" s="5"/>
      <c r="P454" s="5"/>
      <c r="Q454" s="5"/>
      <c r="R454" s="7"/>
      <c r="S454" s="7"/>
      <c r="T454" s="5"/>
      <c r="U454" s="6"/>
      <c r="V454" s="7"/>
      <c r="W454" s="5"/>
      <c r="X454" s="7"/>
      <c r="Y454" s="7"/>
      <c r="Z454" s="7"/>
      <c r="AA454" s="10"/>
      <c r="AB454" s="11"/>
      <c r="AC454" s="10"/>
      <c r="AD454" s="12"/>
      <c r="AE454" s="12"/>
      <c r="AF454" s="12"/>
      <c r="AG454" s="7"/>
      <c r="AH454" s="7"/>
      <c r="AI454" s="5" t="s">
        <v>1469</v>
      </c>
    </row>
    <row r="455" customFormat="false" ht="15" hidden="false" customHeight="false" outlineLevel="0" collapsed="false">
      <c r="A455" s="5" t="s">
        <v>1421</v>
      </c>
      <c r="B455" s="5" t="s">
        <v>1470</v>
      </c>
      <c r="C455" s="5" t="s">
        <v>1470</v>
      </c>
      <c r="D455" s="5" t="s">
        <v>1421</v>
      </c>
      <c r="E455" s="5" t="s">
        <v>60</v>
      </c>
      <c r="F455" s="6" t="n">
        <v>11306.36</v>
      </c>
      <c r="G455" s="7" t="n">
        <v>346</v>
      </c>
      <c r="H455" s="8" t="n">
        <v>-0.1733</v>
      </c>
      <c r="I455" s="8" t="n">
        <v>-0.1218</v>
      </c>
      <c r="J455" s="7" t="n">
        <v>318</v>
      </c>
      <c r="K455" s="5" t="n">
        <v>24</v>
      </c>
      <c r="L455" s="5" t="n">
        <v>76</v>
      </c>
      <c r="M455" s="5" t="n">
        <v>3.9</v>
      </c>
      <c r="N455" s="9" t="s">
        <v>54</v>
      </c>
      <c r="O455" s="5"/>
      <c r="P455" s="5" t="s">
        <v>1471</v>
      </c>
      <c r="Q455" s="14" t="s">
        <v>1472</v>
      </c>
      <c r="R455" s="7" t="n">
        <v>14514</v>
      </c>
      <c r="S455" s="7" t="n">
        <v>1094</v>
      </c>
      <c r="T455" s="5" t="s">
        <v>1473</v>
      </c>
      <c r="U455" s="6" t="n">
        <v>247248.69</v>
      </c>
      <c r="V455" s="7" t="n">
        <v>8733</v>
      </c>
      <c r="W455" s="5" t="n">
        <v>470</v>
      </c>
      <c r="X455" s="7" t="n">
        <v>17</v>
      </c>
      <c r="Y455" s="7" t="n">
        <v>859</v>
      </c>
      <c r="Z455" s="7" t="n">
        <v>820</v>
      </c>
      <c r="AA455" s="10" t="n">
        <v>8</v>
      </c>
      <c r="AB455" s="11" t="n">
        <v>78</v>
      </c>
      <c r="AC455" s="10" t="n">
        <v>39.02</v>
      </c>
      <c r="AD455" s="12" t="n">
        <v>0.6</v>
      </c>
      <c r="AE455" s="12" t="n">
        <v>0.89</v>
      </c>
      <c r="AF455" s="12" t="n">
        <v>0.96</v>
      </c>
      <c r="AG455" s="7" t="n">
        <v>46</v>
      </c>
      <c r="AH455" s="7" t="n">
        <v>3496</v>
      </c>
      <c r="AI455" s="5" t="s">
        <v>1474</v>
      </c>
    </row>
    <row r="456" customFormat="false" ht="15" hidden="false" customHeight="false" outlineLevel="0" collapsed="false">
      <c r="A456" s="5" t="s">
        <v>1421</v>
      </c>
      <c r="B456" s="5" t="s">
        <v>1475</v>
      </c>
      <c r="C456" s="5" t="s">
        <v>1476</v>
      </c>
      <c r="D456" s="5" t="s">
        <v>1421</v>
      </c>
      <c r="E456" s="5" t="s">
        <v>60</v>
      </c>
      <c r="F456" s="6" t="n">
        <v>11208.73</v>
      </c>
      <c r="G456" s="7" t="n">
        <v>342</v>
      </c>
      <c r="H456" s="8" t="n">
        <v>-0.3352</v>
      </c>
      <c r="I456" s="8" t="n">
        <v>-0.386</v>
      </c>
      <c r="J456" s="7" t="n">
        <v>57</v>
      </c>
      <c r="K456" s="5" t="n">
        <v>11</v>
      </c>
      <c r="L456" s="5" t="n">
        <v>30</v>
      </c>
      <c r="M456" s="5" t="n">
        <v>4.7</v>
      </c>
      <c r="N456" s="9" t="s">
        <v>54</v>
      </c>
      <c r="O456" s="5"/>
      <c r="P456" s="5"/>
      <c r="Q456" s="5"/>
      <c r="R456" s="7"/>
      <c r="S456" s="7"/>
      <c r="T456" s="5"/>
      <c r="U456" s="6"/>
      <c r="V456" s="7"/>
      <c r="W456" s="5"/>
      <c r="X456" s="7"/>
      <c r="Y456" s="7"/>
      <c r="Z456" s="7"/>
      <c r="AA456" s="10"/>
      <c r="AB456" s="11"/>
      <c r="AC456" s="10"/>
      <c r="AD456" s="12"/>
      <c r="AE456" s="12"/>
      <c r="AF456" s="12"/>
      <c r="AG456" s="7"/>
      <c r="AH456" s="7"/>
      <c r="AI456" s="5" t="s">
        <v>1477</v>
      </c>
    </row>
    <row r="457" customFormat="false" ht="15" hidden="false" customHeight="false" outlineLevel="0" collapsed="false">
      <c r="A457" s="5" t="s">
        <v>1421</v>
      </c>
      <c r="B457" s="5" t="s">
        <v>1478</v>
      </c>
      <c r="C457" s="5" t="s">
        <v>1479</v>
      </c>
      <c r="D457" s="5" t="s">
        <v>1421</v>
      </c>
      <c r="E457" s="5" t="s">
        <v>60</v>
      </c>
      <c r="F457" s="6" t="n">
        <v>10872.73</v>
      </c>
      <c r="G457" s="7" t="n">
        <v>589</v>
      </c>
      <c r="H457" s="8" t="n">
        <v>0.4827</v>
      </c>
      <c r="I457" s="8" t="n">
        <v>0.4799</v>
      </c>
      <c r="J457" s="7" t="n">
        <v>0</v>
      </c>
      <c r="K457" s="5" t="n">
        <v>8</v>
      </c>
      <c r="L457" s="5" t="n">
        <v>8</v>
      </c>
      <c r="M457" s="5" t="n">
        <v>4.7</v>
      </c>
      <c r="N457" s="9" t="s">
        <v>54</v>
      </c>
      <c r="O457" s="5"/>
      <c r="P457" s="5"/>
      <c r="Q457" s="5"/>
      <c r="R457" s="7"/>
      <c r="S457" s="7"/>
      <c r="T457" s="5"/>
      <c r="U457" s="6"/>
      <c r="V457" s="7"/>
      <c r="W457" s="5"/>
      <c r="X457" s="7"/>
      <c r="Y457" s="7"/>
      <c r="Z457" s="7"/>
      <c r="AA457" s="10"/>
      <c r="AB457" s="11"/>
      <c r="AC457" s="10"/>
      <c r="AD457" s="12"/>
      <c r="AE457" s="12"/>
      <c r="AF457" s="12"/>
      <c r="AG457" s="7"/>
      <c r="AH457" s="7"/>
      <c r="AI457" s="5" t="s">
        <v>1480</v>
      </c>
    </row>
    <row r="458" customFormat="false" ht="15" hidden="false" customHeight="false" outlineLevel="0" collapsed="false">
      <c r="A458" s="5" t="s">
        <v>1221</v>
      </c>
      <c r="B458" s="5" t="s">
        <v>1481</v>
      </c>
      <c r="C458" s="5" t="s">
        <v>1482</v>
      </c>
      <c r="D458" s="5" t="s">
        <v>59</v>
      </c>
      <c r="E458" s="5" t="s">
        <v>60</v>
      </c>
      <c r="F458" s="6" t="n">
        <v>28934.02</v>
      </c>
      <c r="G458" s="7" t="n">
        <v>1525</v>
      </c>
      <c r="H458" s="8" t="n">
        <v>-0.0622</v>
      </c>
      <c r="I458" s="8" t="n">
        <v>-0.2045</v>
      </c>
      <c r="J458" s="7" t="n">
        <v>311</v>
      </c>
      <c r="K458" s="5" t="n">
        <v>92</v>
      </c>
      <c r="L458" s="5" t="n">
        <v>3190</v>
      </c>
      <c r="M458" s="5" t="n">
        <v>4.3</v>
      </c>
      <c r="N458" s="13" t="s">
        <v>61</v>
      </c>
      <c r="O458" s="5"/>
      <c r="P458" s="5"/>
      <c r="Q458" s="5"/>
      <c r="R458" s="7"/>
      <c r="S458" s="7"/>
      <c r="T458" s="5"/>
      <c r="U458" s="6"/>
      <c r="V458" s="7"/>
      <c r="W458" s="5"/>
      <c r="X458" s="7"/>
      <c r="Y458" s="7"/>
      <c r="Z458" s="7"/>
      <c r="AA458" s="10"/>
      <c r="AB458" s="11"/>
      <c r="AC458" s="10"/>
      <c r="AD458" s="12"/>
      <c r="AE458" s="12"/>
      <c r="AF458" s="12"/>
      <c r="AG458" s="7"/>
      <c r="AH458" s="7"/>
      <c r="AI458" s="5" t="s">
        <v>1483</v>
      </c>
    </row>
    <row r="459" customFormat="false" ht="15" hidden="false" customHeight="false" outlineLevel="0" collapsed="false">
      <c r="A459" s="5" t="s">
        <v>1221</v>
      </c>
      <c r="B459" s="5" t="s">
        <v>1484</v>
      </c>
      <c r="C459" s="5" t="s">
        <v>1484</v>
      </c>
      <c r="D459" s="5" t="s">
        <v>1221</v>
      </c>
      <c r="E459" s="5" t="s">
        <v>60</v>
      </c>
      <c r="F459" s="6" t="n">
        <v>28220.56</v>
      </c>
      <c r="G459" s="7" t="n">
        <v>3384</v>
      </c>
      <c r="H459" s="8" t="n">
        <v>0.2473</v>
      </c>
      <c r="I459" s="8" t="n">
        <v>-0.1024</v>
      </c>
      <c r="J459" s="7" t="n">
        <v>3126</v>
      </c>
      <c r="K459" s="5" t="n">
        <v>117</v>
      </c>
      <c r="L459" s="5" t="n">
        <v>123</v>
      </c>
      <c r="M459" s="5" t="n">
        <v>4.8</v>
      </c>
      <c r="N459" s="9" t="s">
        <v>54</v>
      </c>
      <c r="O459" s="5"/>
      <c r="P459" s="5" t="s">
        <v>1485</v>
      </c>
      <c r="Q459" s="14" t="s">
        <v>1486</v>
      </c>
      <c r="R459" s="7" t="n">
        <v>25116</v>
      </c>
      <c r="S459" s="7" t="n">
        <v>1077</v>
      </c>
      <c r="T459" s="5" t="s">
        <v>318</v>
      </c>
      <c r="U459" s="6" t="n">
        <v>619150.68</v>
      </c>
      <c r="V459" s="7" t="n">
        <v>120220</v>
      </c>
      <c r="W459" s="5" t="n">
        <v>559</v>
      </c>
      <c r="X459" s="7" t="n">
        <v>198</v>
      </c>
      <c r="Y459" s="7" t="n">
        <v>1274</v>
      </c>
      <c r="Z459" s="7" t="n">
        <v>1131</v>
      </c>
      <c r="AA459" s="10" t="n">
        <v>0.15</v>
      </c>
      <c r="AB459" s="11" t="n">
        <v>119</v>
      </c>
      <c r="AC459" s="10" t="n">
        <v>11.08</v>
      </c>
      <c r="AD459" s="12" t="n">
        <v>0.8</v>
      </c>
      <c r="AE459" s="12" t="n">
        <v>0.99</v>
      </c>
      <c r="AF459" s="12" t="n">
        <v>1</v>
      </c>
      <c r="AG459" s="7" t="n">
        <v>23</v>
      </c>
      <c r="AH459" s="7" t="n">
        <v>1757</v>
      </c>
      <c r="AI459" s="5" t="s">
        <v>1487</v>
      </c>
    </row>
    <row r="460" customFormat="false" ht="15" hidden="false" customHeight="false" outlineLevel="0" collapsed="false">
      <c r="A460" s="5" t="s">
        <v>1221</v>
      </c>
      <c r="B460" s="5" t="s">
        <v>1488</v>
      </c>
      <c r="C460" s="5" t="s">
        <v>1489</v>
      </c>
      <c r="D460" s="5" t="s">
        <v>677</v>
      </c>
      <c r="E460" s="5" t="s">
        <v>60</v>
      </c>
      <c r="F460" s="6" t="n">
        <v>26837.8</v>
      </c>
      <c r="G460" s="7" t="n">
        <v>1993</v>
      </c>
      <c r="H460" s="8" t="n">
        <v>0.4896</v>
      </c>
      <c r="I460" s="8" t="n">
        <v>0.5486</v>
      </c>
      <c r="J460" s="7" t="n">
        <v>340</v>
      </c>
      <c r="K460" s="5" t="n">
        <v>28</v>
      </c>
      <c r="L460" s="5" t="n">
        <v>519</v>
      </c>
      <c r="M460" s="5" t="n">
        <v>4.4</v>
      </c>
      <c r="N460" s="15" t="s">
        <v>151</v>
      </c>
      <c r="O460" s="5" t="s">
        <v>1490</v>
      </c>
      <c r="P460" s="5"/>
      <c r="Q460" s="5"/>
      <c r="R460" s="7"/>
      <c r="S460" s="7"/>
      <c r="T460" s="5"/>
      <c r="U460" s="6"/>
      <c r="V460" s="7"/>
      <c r="W460" s="5"/>
      <c r="X460" s="7"/>
      <c r="Y460" s="7"/>
      <c r="Z460" s="7"/>
      <c r="AA460" s="10"/>
      <c r="AB460" s="11"/>
      <c r="AC460" s="10"/>
      <c r="AD460" s="12"/>
      <c r="AE460" s="12"/>
      <c r="AF460" s="12"/>
      <c r="AG460" s="7"/>
      <c r="AH460" s="7"/>
      <c r="AI460" s="5" t="s">
        <v>1491</v>
      </c>
    </row>
    <row r="461" customFormat="false" ht="15" hidden="false" customHeight="false" outlineLevel="0" collapsed="false">
      <c r="A461" s="5" t="s">
        <v>1221</v>
      </c>
      <c r="B461" s="5" t="s">
        <v>1492</v>
      </c>
      <c r="C461" s="5"/>
      <c r="D461" s="5" t="s">
        <v>1221</v>
      </c>
      <c r="E461" s="5" t="s">
        <v>60</v>
      </c>
      <c r="F461" s="6" t="n">
        <v>26755.42</v>
      </c>
      <c r="G461" s="7" t="n">
        <v>1515</v>
      </c>
      <c r="H461" s="8" t="n">
        <v>0.4946</v>
      </c>
      <c r="I461" s="8" t="n">
        <v>0.5045</v>
      </c>
      <c r="J461" s="7" t="n">
        <v>107</v>
      </c>
      <c r="K461" s="5" t="n">
        <v>33</v>
      </c>
      <c r="L461" s="5" t="n">
        <v>59</v>
      </c>
      <c r="M461" s="5" t="n">
        <v>3.7</v>
      </c>
      <c r="N461" s="9" t="s">
        <v>54</v>
      </c>
      <c r="O461" s="5"/>
      <c r="P461" s="5"/>
      <c r="Q461" s="5"/>
      <c r="R461" s="7"/>
      <c r="S461" s="7"/>
      <c r="T461" s="5"/>
      <c r="U461" s="6"/>
      <c r="V461" s="7"/>
      <c r="W461" s="5"/>
      <c r="X461" s="7"/>
      <c r="Y461" s="7"/>
      <c r="Z461" s="7"/>
      <c r="AA461" s="10"/>
      <c r="AB461" s="11"/>
      <c r="AC461" s="10"/>
      <c r="AD461" s="12"/>
      <c r="AE461" s="12"/>
      <c r="AF461" s="12"/>
      <c r="AG461" s="7"/>
      <c r="AH461" s="7"/>
      <c r="AI461" s="5" t="s">
        <v>1493</v>
      </c>
    </row>
    <row r="462" customFormat="false" ht="15" hidden="false" customHeight="false" outlineLevel="0" collapsed="false">
      <c r="A462" s="5" t="s">
        <v>1221</v>
      </c>
      <c r="B462" s="5" t="s">
        <v>1494</v>
      </c>
      <c r="C462" s="5" t="s">
        <v>1494</v>
      </c>
      <c r="D462" s="5" t="s">
        <v>59</v>
      </c>
      <c r="E462" s="5" t="s">
        <v>60</v>
      </c>
      <c r="F462" s="6" t="n">
        <v>26661.61</v>
      </c>
      <c r="G462" s="7" t="n">
        <v>1056</v>
      </c>
      <c r="H462" s="8" t="n">
        <v>0.0871</v>
      </c>
      <c r="I462" s="8" t="n">
        <v>0.0252</v>
      </c>
      <c r="J462" s="7" t="n">
        <v>91</v>
      </c>
      <c r="K462" s="5" t="n">
        <v>12</v>
      </c>
      <c r="L462" s="5" t="n">
        <v>445</v>
      </c>
      <c r="M462" s="5" t="n">
        <v>4.7</v>
      </c>
      <c r="N462" s="13" t="s">
        <v>61</v>
      </c>
      <c r="O462" s="5"/>
      <c r="P462" s="5"/>
      <c r="Q462" s="5"/>
      <c r="R462" s="7"/>
      <c r="S462" s="7"/>
      <c r="T462" s="5"/>
      <c r="U462" s="6"/>
      <c r="V462" s="7"/>
      <c r="W462" s="5"/>
      <c r="X462" s="7"/>
      <c r="Y462" s="7"/>
      <c r="Z462" s="7"/>
      <c r="AA462" s="10"/>
      <c r="AB462" s="11"/>
      <c r="AC462" s="10"/>
      <c r="AD462" s="12"/>
      <c r="AE462" s="12"/>
      <c r="AF462" s="12"/>
      <c r="AG462" s="7"/>
      <c r="AH462" s="7"/>
      <c r="AI462" s="5" t="s">
        <v>1495</v>
      </c>
    </row>
    <row r="463" customFormat="false" ht="15" hidden="false" customHeight="false" outlineLevel="0" collapsed="false">
      <c r="A463" s="5" t="s">
        <v>1221</v>
      </c>
      <c r="B463" s="5" t="s">
        <v>1496</v>
      </c>
      <c r="C463" s="5" t="s">
        <v>1497</v>
      </c>
      <c r="D463" s="5" t="s">
        <v>1221</v>
      </c>
      <c r="E463" s="5" t="s">
        <v>60</v>
      </c>
      <c r="F463" s="6" t="n">
        <v>25309.06</v>
      </c>
      <c r="G463" s="7" t="n">
        <v>1832</v>
      </c>
      <c r="H463" s="8" t="n">
        <v>1.4575</v>
      </c>
      <c r="I463" s="8" t="n">
        <v>1.1377</v>
      </c>
      <c r="J463" s="7" t="n">
        <v>264</v>
      </c>
      <c r="K463" s="5" t="n">
        <v>10</v>
      </c>
      <c r="L463" s="5" t="n">
        <v>12</v>
      </c>
      <c r="M463" s="5" t="n">
        <v>4.8</v>
      </c>
      <c r="N463" s="9" t="s">
        <v>54</v>
      </c>
      <c r="O463" s="5"/>
      <c r="P463" s="5"/>
      <c r="Q463" s="5"/>
      <c r="R463" s="7"/>
      <c r="S463" s="7"/>
      <c r="T463" s="5"/>
      <c r="U463" s="6"/>
      <c r="V463" s="7"/>
      <c r="W463" s="5"/>
      <c r="X463" s="7"/>
      <c r="Y463" s="7"/>
      <c r="Z463" s="7"/>
      <c r="AA463" s="10"/>
      <c r="AB463" s="11"/>
      <c r="AC463" s="10"/>
      <c r="AD463" s="12"/>
      <c r="AE463" s="12"/>
      <c r="AF463" s="12"/>
      <c r="AG463" s="7"/>
      <c r="AH463" s="7"/>
      <c r="AI463" s="5" t="s">
        <v>1498</v>
      </c>
    </row>
    <row r="464" customFormat="false" ht="15" hidden="false" customHeight="false" outlineLevel="0" collapsed="false">
      <c r="A464" s="5" t="s">
        <v>1221</v>
      </c>
      <c r="B464" s="5" t="s">
        <v>1499</v>
      </c>
      <c r="C464" s="5"/>
      <c r="D464" s="5" t="s">
        <v>1221</v>
      </c>
      <c r="E464" s="5" t="s">
        <v>53</v>
      </c>
      <c r="F464" s="6" t="n">
        <v>25090</v>
      </c>
      <c r="G464" s="7" t="n">
        <v>2706</v>
      </c>
      <c r="H464" s="8" t="n">
        <v>0.7003</v>
      </c>
      <c r="I464" s="8" t="n">
        <v>0.874</v>
      </c>
      <c r="J464" s="7" t="n">
        <v>97</v>
      </c>
      <c r="K464" s="5" t="n">
        <v>20</v>
      </c>
      <c r="L464" s="5" t="n">
        <v>75</v>
      </c>
      <c r="M464" s="5" t="n">
        <v>4.3</v>
      </c>
      <c r="N464" s="9" t="s">
        <v>54</v>
      </c>
      <c r="O464" s="5"/>
      <c r="P464" s="5"/>
      <c r="Q464" s="5"/>
      <c r="R464" s="7"/>
      <c r="S464" s="7"/>
      <c r="T464" s="5"/>
      <c r="U464" s="6"/>
      <c r="V464" s="7"/>
      <c r="W464" s="5"/>
      <c r="X464" s="7"/>
      <c r="Y464" s="7"/>
      <c r="Z464" s="7"/>
      <c r="AA464" s="10"/>
      <c r="AB464" s="11"/>
      <c r="AC464" s="10"/>
      <c r="AD464" s="12"/>
      <c r="AE464" s="12"/>
      <c r="AF464" s="12"/>
      <c r="AG464" s="7"/>
      <c r="AH464" s="7"/>
      <c r="AI464" s="5" t="s">
        <v>1500</v>
      </c>
    </row>
    <row r="465" customFormat="false" ht="15" hidden="false" customHeight="false" outlineLevel="0" collapsed="false">
      <c r="A465" s="5" t="s">
        <v>1221</v>
      </c>
      <c r="B465" s="5" t="s">
        <v>1501</v>
      </c>
      <c r="C465" s="5" t="s">
        <v>1502</v>
      </c>
      <c r="D465" s="5" t="s">
        <v>1221</v>
      </c>
      <c r="E465" s="5" t="s">
        <v>60</v>
      </c>
      <c r="F465" s="6" t="n">
        <v>24430.02</v>
      </c>
      <c r="G465" s="7" t="n">
        <v>1917</v>
      </c>
      <c r="H465" s="8" t="n">
        <v>0.2727</v>
      </c>
      <c r="I465" s="8" t="n">
        <v>-0.0415</v>
      </c>
      <c r="J465" s="7" t="n">
        <v>221</v>
      </c>
      <c r="K465" s="5" t="n">
        <v>15</v>
      </c>
      <c r="L465" s="5" t="n">
        <v>21</v>
      </c>
      <c r="M465" s="5" t="n">
        <v>3.8</v>
      </c>
      <c r="N465" s="9" t="s">
        <v>54</v>
      </c>
      <c r="O465" s="5"/>
      <c r="P465" s="5"/>
      <c r="Q465" s="5"/>
      <c r="R465" s="7"/>
      <c r="S465" s="7"/>
      <c r="T465" s="5"/>
      <c r="U465" s="6"/>
      <c r="V465" s="7"/>
      <c r="W465" s="5"/>
      <c r="X465" s="7"/>
      <c r="Y465" s="7"/>
      <c r="Z465" s="7"/>
      <c r="AA465" s="10"/>
      <c r="AB465" s="11"/>
      <c r="AC465" s="10"/>
      <c r="AD465" s="12"/>
      <c r="AE465" s="12"/>
      <c r="AF465" s="12"/>
      <c r="AG465" s="7"/>
      <c r="AH465" s="7"/>
      <c r="AI465" s="5" t="s">
        <v>1503</v>
      </c>
    </row>
    <row r="466" customFormat="false" ht="15" hidden="false" customHeight="false" outlineLevel="0" collapsed="false">
      <c r="A466" s="5" t="s">
        <v>1221</v>
      </c>
      <c r="B466" s="5" t="s">
        <v>1504</v>
      </c>
      <c r="C466" s="5" t="s">
        <v>1504</v>
      </c>
      <c r="D466" s="5" t="s">
        <v>1221</v>
      </c>
      <c r="E466" s="5" t="s">
        <v>60</v>
      </c>
      <c r="F466" s="6" t="n">
        <v>23765.93</v>
      </c>
      <c r="G466" s="7" t="n">
        <v>3027</v>
      </c>
      <c r="H466" s="8" t="n">
        <v>-0.2874</v>
      </c>
      <c r="I466" s="8" t="n">
        <v>-0.2311</v>
      </c>
      <c r="J466" s="7" t="n">
        <v>1125</v>
      </c>
      <c r="K466" s="5" t="n">
        <v>108</v>
      </c>
      <c r="L466" s="5" t="n">
        <v>132</v>
      </c>
      <c r="M466" s="5" t="n">
        <v>4.9</v>
      </c>
      <c r="N466" s="9" t="s">
        <v>54</v>
      </c>
      <c r="O466" s="5"/>
      <c r="P466" s="5" t="s">
        <v>1505</v>
      </c>
      <c r="Q466" s="14" t="s">
        <v>1506</v>
      </c>
      <c r="R466" s="7" t="n">
        <v>6980</v>
      </c>
      <c r="S466" s="7" t="n">
        <v>611</v>
      </c>
      <c r="T466" s="5" t="s">
        <v>1507</v>
      </c>
      <c r="U466" s="6" t="n">
        <v>381181.49</v>
      </c>
      <c r="V466" s="7" t="n">
        <v>60247</v>
      </c>
      <c r="W466" s="5" t="n">
        <v>403</v>
      </c>
      <c r="X466" s="7" t="n">
        <v>2</v>
      </c>
      <c r="Y466" s="7" t="n">
        <v>646</v>
      </c>
      <c r="Z466" s="7" t="n">
        <v>209</v>
      </c>
      <c r="AA466" s="10" t="n">
        <v>0.85</v>
      </c>
      <c r="AB466" s="11" t="n">
        <v>59.99</v>
      </c>
      <c r="AC466" s="10" t="n">
        <v>7.25</v>
      </c>
      <c r="AD466" s="12" t="n">
        <v>0.81</v>
      </c>
      <c r="AE466" s="12" t="n">
        <v>0.96</v>
      </c>
      <c r="AF466" s="12" t="n">
        <v>1</v>
      </c>
      <c r="AG466" s="7" t="n">
        <v>29</v>
      </c>
      <c r="AH466" s="7" t="n">
        <v>1911</v>
      </c>
      <c r="AI466" s="5" t="s">
        <v>1508</v>
      </c>
    </row>
    <row r="467" customFormat="false" ht="15" hidden="false" customHeight="false" outlineLevel="0" collapsed="false">
      <c r="A467" s="5" t="s">
        <v>1221</v>
      </c>
      <c r="B467" s="5" t="s">
        <v>1509</v>
      </c>
      <c r="C467" s="5" t="s">
        <v>962</v>
      </c>
      <c r="D467" s="5" t="s">
        <v>1221</v>
      </c>
      <c r="E467" s="5" t="s">
        <v>60</v>
      </c>
      <c r="F467" s="6" t="n">
        <v>22985.07</v>
      </c>
      <c r="G467" s="7" t="n">
        <v>717</v>
      </c>
      <c r="H467" s="8" t="n">
        <v>-0.2441</v>
      </c>
      <c r="I467" s="8" t="n">
        <v>-0.2859</v>
      </c>
      <c r="J467" s="7" t="n">
        <v>42</v>
      </c>
      <c r="K467" s="5" t="n">
        <v>21</v>
      </c>
      <c r="L467" s="5" t="n">
        <v>19</v>
      </c>
      <c r="M467" s="5" t="n">
        <v>3.6</v>
      </c>
      <c r="N467" s="9" t="s">
        <v>54</v>
      </c>
      <c r="O467" s="5"/>
      <c r="P467" s="5"/>
      <c r="Q467" s="5"/>
      <c r="R467" s="7"/>
      <c r="S467" s="7"/>
      <c r="T467" s="5"/>
      <c r="U467" s="6"/>
      <c r="V467" s="7"/>
      <c r="W467" s="5"/>
      <c r="X467" s="7"/>
      <c r="Y467" s="7"/>
      <c r="Z467" s="7"/>
      <c r="AA467" s="10"/>
      <c r="AB467" s="11"/>
      <c r="AC467" s="10"/>
      <c r="AD467" s="12"/>
      <c r="AE467" s="12"/>
      <c r="AF467" s="12"/>
      <c r="AG467" s="7"/>
      <c r="AH467" s="7"/>
      <c r="AI467" s="5" t="s">
        <v>1510</v>
      </c>
    </row>
    <row r="468" customFormat="false" ht="15" hidden="false" customHeight="false" outlineLevel="0" collapsed="false">
      <c r="A468" s="5" t="s">
        <v>1221</v>
      </c>
      <c r="B468" s="5" t="s">
        <v>1511</v>
      </c>
      <c r="C468" s="5" t="s">
        <v>1512</v>
      </c>
      <c r="D468" s="5" t="s">
        <v>1221</v>
      </c>
      <c r="E468" s="5" t="s">
        <v>60</v>
      </c>
      <c r="F468" s="6" t="n">
        <v>22939.47</v>
      </c>
      <c r="G468" s="7" t="n">
        <v>1663</v>
      </c>
      <c r="H468" s="8" t="n">
        <v>0.8986</v>
      </c>
      <c r="I468" s="8" t="n">
        <v>0.658</v>
      </c>
      <c r="J468" s="7" t="n">
        <v>163</v>
      </c>
      <c r="K468" s="5" t="n">
        <v>13</v>
      </c>
      <c r="L468" s="5" t="n">
        <v>31</v>
      </c>
      <c r="M468" s="5" t="n">
        <v>4</v>
      </c>
      <c r="N468" s="9" t="s">
        <v>54</v>
      </c>
      <c r="O468" s="5"/>
      <c r="P468" s="5"/>
      <c r="Q468" s="5"/>
      <c r="R468" s="7"/>
      <c r="S468" s="7"/>
      <c r="T468" s="5"/>
      <c r="U468" s="6"/>
      <c r="V468" s="7"/>
      <c r="W468" s="5"/>
      <c r="X468" s="7"/>
      <c r="Y468" s="7"/>
      <c r="Z468" s="7"/>
      <c r="AA468" s="10"/>
      <c r="AB468" s="11"/>
      <c r="AC468" s="10"/>
      <c r="AD468" s="12"/>
      <c r="AE468" s="12"/>
      <c r="AF468" s="12"/>
      <c r="AG468" s="7"/>
      <c r="AH468" s="7"/>
      <c r="AI468" s="5" t="s">
        <v>1513</v>
      </c>
    </row>
    <row r="469" customFormat="false" ht="15" hidden="false" customHeight="false" outlineLevel="0" collapsed="false">
      <c r="A469" s="5" t="s">
        <v>1221</v>
      </c>
      <c r="B469" s="5" t="s">
        <v>1514</v>
      </c>
      <c r="C469" s="5" t="s">
        <v>1515</v>
      </c>
      <c r="D469" s="5" t="s">
        <v>1221</v>
      </c>
      <c r="E469" s="5" t="s">
        <v>60</v>
      </c>
      <c r="F469" s="6" t="n">
        <v>22610.51</v>
      </c>
      <c r="G469" s="7" t="n">
        <v>1150</v>
      </c>
      <c r="H469" s="8" t="n">
        <v>-0.0069</v>
      </c>
      <c r="I469" s="8" t="n">
        <v>-0.0504</v>
      </c>
      <c r="J469" s="7" t="n">
        <v>298</v>
      </c>
      <c r="K469" s="5" t="n">
        <v>14</v>
      </c>
      <c r="L469" s="5" t="n">
        <v>841</v>
      </c>
      <c r="M469" s="5" t="n">
        <v>4.2</v>
      </c>
      <c r="N469" s="9" t="s">
        <v>54</v>
      </c>
      <c r="O469" s="5"/>
      <c r="P469" s="5"/>
      <c r="Q469" s="5"/>
      <c r="R469" s="7"/>
      <c r="S469" s="7"/>
      <c r="T469" s="5"/>
      <c r="U469" s="6"/>
      <c r="V469" s="7"/>
      <c r="W469" s="5"/>
      <c r="X469" s="7"/>
      <c r="Y469" s="7"/>
      <c r="Z469" s="7"/>
      <c r="AA469" s="10"/>
      <c r="AB469" s="11"/>
      <c r="AC469" s="10"/>
      <c r="AD469" s="12"/>
      <c r="AE469" s="12"/>
      <c r="AF469" s="12"/>
      <c r="AG469" s="7"/>
      <c r="AH469" s="7"/>
      <c r="AI469" s="5" t="s">
        <v>1516</v>
      </c>
    </row>
    <row r="470" customFormat="false" ht="15" hidden="false" customHeight="false" outlineLevel="0" collapsed="false">
      <c r="A470" s="5" t="s">
        <v>1221</v>
      </c>
      <c r="B470" s="5" t="s">
        <v>1517</v>
      </c>
      <c r="C470" s="5"/>
      <c r="D470" s="5" t="s">
        <v>1221</v>
      </c>
      <c r="E470" s="5" t="s">
        <v>60</v>
      </c>
      <c r="F470" s="6" t="n">
        <v>22609.54</v>
      </c>
      <c r="G470" s="7" t="n">
        <v>1128</v>
      </c>
      <c r="H470" s="8" t="n">
        <v>0.285</v>
      </c>
      <c r="I470" s="8" t="n">
        <v>0.1924</v>
      </c>
      <c r="J470" s="7" t="n">
        <v>452</v>
      </c>
      <c r="K470" s="5" t="n">
        <v>1</v>
      </c>
      <c r="L470" s="5" t="n">
        <v>1</v>
      </c>
      <c r="M470" s="5" t="n">
        <v>4.7</v>
      </c>
      <c r="N470" s="9" t="s">
        <v>54</v>
      </c>
      <c r="O470" s="5"/>
      <c r="P470" s="5"/>
      <c r="Q470" s="5"/>
      <c r="R470" s="7"/>
      <c r="S470" s="7"/>
      <c r="T470" s="5"/>
      <c r="U470" s="6"/>
      <c r="V470" s="7"/>
      <c r="W470" s="5"/>
      <c r="X470" s="7"/>
      <c r="Y470" s="7"/>
      <c r="Z470" s="7"/>
      <c r="AA470" s="10"/>
      <c r="AB470" s="11"/>
      <c r="AC470" s="10"/>
      <c r="AD470" s="12"/>
      <c r="AE470" s="12"/>
      <c r="AF470" s="12"/>
      <c r="AG470" s="7"/>
      <c r="AH470" s="7"/>
      <c r="AI470" s="5" t="s">
        <v>1518</v>
      </c>
    </row>
    <row r="471" customFormat="false" ht="15" hidden="false" customHeight="false" outlineLevel="0" collapsed="false">
      <c r="A471" s="5" t="s">
        <v>1221</v>
      </c>
      <c r="B471" s="5" t="s">
        <v>1519</v>
      </c>
      <c r="C471" s="5" t="s">
        <v>1520</v>
      </c>
      <c r="D471" s="5" t="s">
        <v>1221</v>
      </c>
      <c r="E471" s="5" t="s">
        <v>60</v>
      </c>
      <c r="F471" s="6" t="n">
        <v>22048.04</v>
      </c>
      <c r="G471" s="7" t="n">
        <v>823</v>
      </c>
      <c r="H471" s="8" t="n">
        <v>-0.1744</v>
      </c>
      <c r="I471" s="8" t="n">
        <v>-0.3331</v>
      </c>
      <c r="J471" s="7" t="n">
        <v>147</v>
      </c>
      <c r="K471" s="5" t="n">
        <v>10</v>
      </c>
      <c r="L471" s="5" t="n">
        <v>13</v>
      </c>
      <c r="M471" s="5" t="n">
        <v>4.5</v>
      </c>
      <c r="N471" s="9" t="s">
        <v>54</v>
      </c>
      <c r="O471" s="5"/>
      <c r="P471" s="5"/>
      <c r="Q471" s="5"/>
      <c r="R471" s="7"/>
      <c r="S471" s="7"/>
      <c r="T471" s="5"/>
      <c r="U471" s="6"/>
      <c r="V471" s="7"/>
      <c r="W471" s="5"/>
      <c r="X471" s="7"/>
      <c r="Y471" s="7"/>
      <c r="Z471" s="7"/>
      <c r="AA471" s="10"/>
      <c r="AB471" s="11"/>
      <c r="AC471" s="10"/>
      <c r="AD471" s="12"/>
      <c r="AE471" s="12"/>
      <c r="AF471" s="12"/>
      <c r="AG471" s="7"/>
      <c r="AH471" s="7"/>
      <c r="AI471" s="5" t="s">
        <v>1521</v>
      </c>
    </row>
    <row r="472" customFormat="false" ht="15" hidden="false" customHeight="false" outlineLevel="0" collapsed="false">
      <c r="A472" s="5" t="s">
        <v>1221</v>
      </c>
      <c r="B472" s="5" t="s">
        <v>1522</v>
      </c>
      <c r="C472" s="5" t="s">
        <v>1523</v>
      </c>
      <c r="D472" s="5" t="s">
        <v>730</v>
      </c>
      <c r="E472" s="5" t="s">
        <v>60</v>
      </c>
      <c r="F472" s="6" t="n">
        <v>21880.79</v>
      </c>
      <c r="G472" s="7" t="n">
        <v>2311</v>
      </c>
      <c r="H472" s="8" t="n">
        <v>24.0786</v>
      </c>
      <c r="I472" s="8" t="n">
        <v>26.5119</v>
      </c>
      <c r="J472" s="7" t="n">
        <v>190</v>
      </c>
      <c r="K472" s="5" t="n">
        <v>11</v>
      </c>
      <c r="L472" s="5" t="n">
        <v>583</v>
      </c>
      <c r="M472" s="5" t="n">
        <v>4.2</v>
      </c>
      <c r="N472" s="15" t="s">
        <v>151</v>
      </c>
      <c r="O472" s="5" t="s">
        <v>1524</v>
      </c>
      <c r="P472" s="5"/>
      <c r="Q472" s="5"/>
      <c r="R472" s="7"/>
      <c r="S472" s="7"/>
      <c r="T472" s="5"/>
      <c r="U472" s="6"/>
      <c r="V472" s="7"/>
      <c r="W472" s="5"/>
      <c r="X472" s="7"/>
      <c r="Y472" s="7"/>
      <c r="Z472" s="7"/>
      <c r="AA472" s="10"/>
      <c r="AB472" s="11"/>
      <c r="AC472" s="10"/>
      <c r="AD472" s="12"/>
      <c r="AE472" s="12"/>
      <c r="AF472" s="12"/>
      <c r="AG472" s="7"/>
      <c r="AH472" s="7"/>
      <c r="AI472" s="5" t="s">
        <v>1525</v>
      </c>
    </row>
    <row r="473" customFormat="false" ht="15" hidden="false" customHeight="false" outlineLevel="0" collapsed="false">
      <c r="A473" s="5" t="s">
        <v>1221</v>
      </c>
      <c r="B473" s="5" t="s">
        <v>1526</v>
      </c>
      <c r="C473" s="5" t="s">
        <v>1527</v>
      </c>
      <c r="D473" s="5" t="s">
        <v>1221</v>
      </c>
      <c r="E473" s="5" t="s">
        <v>60</v>
      </c>
      <c r="F473" s="6" t="n">
        <v>20829.2</v>
      </c>
      <c r="G473" s="7" t="n">
        <v>1136</v>
      </c>
      <c r="H473" s="8" t="n">
        <v>-0.1606</v>
      </c>
      <c r="I473" s="8" t="n">
        <v>-0.1708</v>
      </c>
      <c r="J473" s="7" t="n">
        <v>638</v>
      </c>
      <c r="K473" s="5" t="n">
        <v>21</v>
      </c>
      <c r="L473" s="5" t="n">
        <v>23</v>
      </c>
      <c r="M473" s="5" t="n">
        <v>4.6</v>
      </c>
      <c r="N473" s="9" t="s">
        <v>54</v>
      </c>
      <c r="O473" s="5"/>
      <c r="P473" s="5" t="s">
        <v>1528</v>
      </c>
      <c r="Q473" s="14" t="s">
        <v>1529</v>
      </c>
      <c r="R473" s="7" t="n">
        <v>53634</v>
      </c>
      <c r="S473" s="7" t="n">
        <v>2149</v>
      </c>
      <c r="T473" s="5" t="s">
        <v>307</v>
      </c>
      <c r="U473" s="6" t="n">
        <v>2413799.1</v>
      </c>
      <c r="V473" s="7" t="n">
        <v>128386</v>
      </c>
      <c r="W473" s="5" t="n">
        <v>93</v>
      </c>
      <c r="X473" s="7" t="n">
        <v>4232</v>
      </c>
      <c r="Y473" s="7" t="n">
        <v>7181</v>
      </c>
      <c r="Z473" s="7" t="n">
        <v>891</v>
      </c>
      <c r="AA473" s="10" t="n">
        <v>1.5</v>
      </c>
      <c r="AB473" s="11" t="n">
        <v>65</v>
      </c>
      <c r="AC473" s="10" t="n">
        <v>20.12</v>
      </c>
      <c r="AD473" s="12" t="n">
        <v>0.79</v>
      </c>
      <c r="AE473" s="12" t="n">
        <v>0.92</v>
      </c>
      <c r="AF473" s="12" t="n">
        <v>0.98</v>
      </c>
      <c r="AG473" s="7" t="n">
        <v>32</v>
      </c>
      <c r="AH473" s="7" t="n">
        <v>2063</v>
      </c>
      <c r="AI473" s="5" t="s">
        <v>1530</v>
      </c>
    </row>
    <row r="474" customFormat="false" ht="15" hidden="false" customHeight="false" outlineLevel="0" collapsed="false">
      <c r="A474" s="5" t="s">
        <v>1221</v>
      </c>
      <c r="B474" s="5" t="s">
        <v>1531</v>
      </c>
      <c r="C474" s="5" t="s">
        <v>1532</v>
      </c>
      <c r="D474" s="5" t="s">
        <v>1221</v>
      </c>
      <c r="E474" s="5" t="s">
        <v>60</v>
      </c>
      <c r="F474" s="6" t="n">
        <v>20733.9</v>
      </c>
      <c r="G474" s="7" t="n">
        <v>972</v>
      </c>
      <c r="H474" s="8" t="n">
        <v>0.0291</v>
      </c>
      <c r="I474" s="8" t="n">
        <v>-0.0338</v>
      </c>
      <c r="J474" s="7" t="n">
        <v>39</v>
      </c>
      <c r="K474" s="5" t="n">
        <v>10</v>
      </c>
      <c r="L474" s="5" t="n">
        <v>17</v>
      </c>
      <c r="M474" s="5" t="n">
        <v>4.5</v>
      </c>
      <c r="N474" s="9" t="s">
        <v>54</v>
      </c>
      <c r="O474" s="5"/>
      <c r="P474" s="5"/>
      <c r="Q474" s="5"/>
      <c r="R474" s="7"/>
      <c r="S474" s="7"/>
      <c r="T474" s="5"/>
      <c r="U474" s="6"/>
      <c r="V474" s="7"/>
      <c r="W474" s="5"/>
      <c r="X474" s="7"/>
      <c r="Y474" s="7"/>
      <c r="Z474" s="7"/>
      <c r="AA474" s="10"/>
      <c r="AB474" s="11"/>
      <c r="AC474" s="10"/>
      <c r="AD474" s="12"/>
      <c r="AE474" s="12"/>
      <c r="AF474" s="12"/>
      <c r="AG474" s="7"/>
      <c r="AH474" s="7"/>
      <c r="AI474" s="5" t="s">
        <v>1533</v>
      </c>
    </row>
    <row r="475" customFormat="false" ht="15" hidden="false" customHeight="false" outlineLevel="0" collapsed="false">
      <c r="A475" s="5" t="s">
        <v>1221</v>
      </c>
      <c r="B475" s="5" t="s">
        <v>1534</v>
      </c>
      <c r="C475" s="5"/>
      <c r="D475" s="5" t="s">
        <v>1221</v>
      </c>
      <c r="E475" s="5" t="s">
        <v>60</v>
      </c>
      <c r="F475" s="6" t="n">
        <v>20435.32</v>
      </c>
      <c r="G475" s="7" t="n">
        <v>461</v>
      </c>
      <c r="H475" s="8" t="n">
        <v>0.0829</v>
      </c>
      <c r="I475" s="8" t="n">
        <v>0.2841</v>
      </c>
      <c r="J475" s="7" t="n">
        <v>380</v>
      </c>
      <c r="K475" s="5" t="n">
        <v>2</v>
      </c>
      <c r="L475" s="5" t="n">
        <v>2</v>
      </c>
      <c r="M475" s="5" t="n">
        <v>4.2</v>
      </c>
      <c r="N475" s="9" t="s">
        <v>54</v>
      </c>
      <c r="O475" s="5"/>
      <c r="P475" s="5"/>
      <c r="Q475" s="5"/>
      <c r="R475" s="7"/>
      <c r="S475" s="7"/>
      <c r="T475" s="5"/>
      <c r="U475" s="6"/>
      <c r="V475" s="7"/>
      <c r="W475" s="5"/>
      <c r="X475" s="7"/>
      <c r="Y475" s="7"/>
      <c r="Z475" s="7"/>
      <c r="AA475" s="10"/>
      <c r="AB475" s="11"/>
      <c r="AC475" s="10"/>
      <c r="AD475" s="12"/>
      <c r="AE475" s="12"/>
      <c r="AF475" s="12"/>
      <c r="AG475" s="7"/>
      <c r="AH475" s="7"/>
      <c r="AI475" s="5" t="s">
        <v>1535</v>
      </c>
    </row>
    <row r="476" customFormat="false" ht="15" hidden="false" customHeight="false" outlineLevel="0" collapsed="false">
      <c r="A476" s="5" t="s">
        <v>1221</v>
      </c>
      <c r="B476" s="5" t="s">
        <v>1536</v>
      </c>
      <c r="C476" s="5" t="s">
        <v>1537</v>
      </c>
      <c r="D476" s="5" t="s">
        <v>59</v>
      </c>
      <c r="E476" s="5" t="s">
        <v>60</v>
      </c>
      <c r="F476" s="6" t="n">
        <v>20272.62</v>
      </c>
      <c r="G476" s="7" t="n">
        <v>1609</v>
      </c>
      <c r="H476" s="8" t="n">
        <v>0.6082</v>
      </c>
      <c r="I476" s="8" t="n">
        <v>0.8666</v>
      </c>
      <c r="J476" s="7" t="n">
        <v>115</v>
      </c>
      <c r="K476" s="5" t="n">
        <v>44</v>
      </c>
      <c r="L476" s="5" t="n">
        <v>1943</v>
      </c>
      <c r="M476" s="5" t="n">
        <v>4.3</v>
      </c>
      <c r="N476" s="13" t="s">
        <v>61</v>
      </c>
      <c r="O476" s="5"/>
      <c r="P476" s="5"/>
      <c r="Q476" s="5"/>
      <c r="R476" s="7"/>
      <c r="S476" s="7"/>
      <c r="T476" s="5"/>
      <c r="U476" s="6"/>
      <c r="V476" s="7"/>
      <c r="W476" s="5"/>
      <c r="X476" s="7"/>
      <c r="Y476" s="7"/>
      <c r="Z476" s="7"/>
      <c r="AA476" s="10"/>
      <c r="AB476" s="11"/>
      <c r="AC476" s="10"/>
      <c r="AD476" s="12"/>
      <c r="AE476" s="12"/>
      <c r="AF476" s="12"/>
      <c r="AG476" s="7"/>
      <c r="AH476" s="7"/>
      <c r="AI476" s="5" t="s">
        <v>1538</v>
      </c>
    </row>
    <row r="477" customFormat="false" ht="15" hidden="false" customHeight="false" outlineLevel="0" collapsed="false">
      <c r="A477" s="5" t="s">
        <v>1221</v>
      </c>
      <c r="B477" s="5" t="s">
        <v>1539</v>
      </c>
      <c r="C477" s="5" t="s">
        <v>1539</v>
      </c>
      <c r="D477" s="5" t="s">
        <v>1221</v>
      </c>
      <c r="E477" s="5" t="s">
        <v>60</v>
      </c>
      <c r="F477" s="6" t="n">
        <v>20212.52</v>
      </c>
      <c r="G477" s="7" t="n">
        <v>2626</v>
      </c>
      <c r="H477" s="8" t="n">
        <v>0.1717</v>
      </c>
      <c r="I477" s="8" t="n">
        <v>0.0865</v>
      </c>
      <c r="J477" s="7" t="n">
        <v>60</v>
      </c>
      <c r="K477" s="5" t="n">
        <v>71</v>
      </c>
      <c r="L477" s="5" t="n">
        <v>61</v>
      </c>
      <c r="M477" s="5" t="n">
        <v>4.9</v>
      </c>
      <c r="N477" s="9" t="s">
        <v>54</v>
      </c>
      <c r="O477" s="5"/>
      <c r="P477" s="5"/>
      <c r="Q477" s="5"/>
      <c r="R477" s="7"/>
      <c r="S477" s="7"/>
      <c r="T477" s="5"/>
      <c r="U477" s="6"/>
      <c r="V477" s="7"/>
      <c r="W477" s="5"/>
      <c r="X477" s="7"/>
      <c r="Y477" s="7"/>
      <c r="Z477" s="7"/>
      <c r="AA477" s="10"/>
      <c r="AB477" s="11"/>
      <c r="AC477" s="10"/>
      <c r="AD477" s="12"/>
      <c r="AE477" s="12"/>
      <c r="AF477" s="12"/>
      <c r="AG477" s="7"/>
      <c r="AH477" s="7"/>
      <c r="AI477" s="5" t="s">
        <v>1540</v>
      </c>
    </row>
    <row r="478" customFormat="false" ht="15" hidden="false" customHeight="false" outlineLevel="0" collapsed="false">
      <c r="A478" s="5" t="s">
        <v>1221</v>
      </c>
      <c r="B478" s="5" t="s">
        <v>1541</v>
      </c>
      <c r="C478" s="5"/>
      <c r="D478" s="5" t="s">
        <v>1221</v>
      </c>
      <c r="E478" s="5" t="s">
        <v>53</v>
      </c>
      <c r="F478" s="6" t="n">
        <v>19957.9</v>
      </c>
      <c r="G478" s="7" t="n">
        <v>885</v>
      </c>
      <c r="H478" s="8" t="n">
        <v>0.4369</v>
      </c>
      <c r="I478" s="8" t="n">
        <v>0.475</v>
      </c>
      <c r="J478" s="7" t="n">
        <v>176</v>
      </c>
      <c r="K478" s="5" t="n">
        <v>3</v>
      </c>
      <c r="L478" s="5" t="n">
        <v>3</v>
      </c>
      <c r="M478" s="5" t="n">
        <v>4.8</v>
      </c>
      <c r="N478" s="9" t="s">
        <v>54</v>
      </c>
      <c r="O478" s="5"/>
      <c r="P478" s="5"/>
      <c r="Q478" s="5"/>
      <c r="R478" s="7"/>
      <c r="S478" s="7"/>
      <c r="T478" s="5"/>
      <c r="U478" s="6"/>
      <c r="V478" s="7"/>
      <c r="W478" s="5"/>
      <c r="X478" s="7"/>
      <c r="Y478" s="7"/>
      <c r="Z478" s="7"/>
      <c r="AA478" s="10"/>
      <c r="AB478" s="11"/>
      <c r="AC478" s="10"/>
      <c r="AD478" s="12"/>
      <c r="AE478" s="12"/>
      <c r="AF478" s="12"/>
      <c r="AG478" s="7"/>
      <c r="AH478" s="7"/>
      <c r="AI478" s="5" t="s">
        <v>1542</v>
      </c>
    </row>
    <row r="479" customFormat="false" ht="15" hidden="false" customHeight="false" outlineLevel="0" collapsed="false">
      <c r="A479" s="5" t="s">
        <v>1221</v>
      </c>
      <c r="B479" s="5" t="s">
        <v>1543</v>
      </c>
      <c r="C479" s="5"/>
      <c r="D479" s="5" t="s">
        <v>1221</v>
      </c>
      <c r="E479" s="5" t="s">
        <v>53</v>
      </c>
      <c r="F479" s="6" t="n">
        <v>19334.65</v>
      </c>
      <c r="G479" s="7" t="n">
        <v>649</v>
      </c>
      <c r="H479" s="8" t="n">
        <v>-0.0658</v>
      </c>
      <c r="I479" s="8" t="n">
        <v>-0.254</v>
      </c>
      <c r="J479" s="7" t="n">
        <v>172</v>
      </c>
      <c r="K479" s="5" t="n">
        <v>3</v>
      </c>
      <c r="L479" s="5" t="n">
        <v>5</v>
      </c>
      <c r="M479" s="5" t="n">
        <v>4</v>
      </c>
      <c r="N479" s="9" t="s">
        <v>54</v>
      </c>
      <c r="O479" s="5"/>
      <c r="P479" s="5"/>
      <c r="Q479" s="5"/>
      <c r="R479" s="7"/>
      <c r="S479" s="7"/>
      <c r="T479" s="5"/>
      <c r="U479" s="6"/>
      <c r="V479" s="7"/>
      <c r="W479" s="5"/>
      <c r="X479" s="7"/>
      <c r="Y479" s="7"/>
      <c r="Z479" s="7"/>
      <c r="AA479" s="10"/>
      <c r="AB479" s="11"/>
      <c r="AC479" s="10"/>
      <c r="AD479" s="12"/>
      <c r="AE479" s="12"/>
      <c r="AF479" s="12"/>
      <c r="AG479" s="7"/>
      <c r="AH479" s="7"/>
      <c r="AI479" s="5" t="s">
        <v>1544</v>
      </c>
    </row>
    <row r="480" customFormat="false" ht="15" hidden="false" customHeight="false" outlineLevel="0" collapsed="false">
      <c r="A480" s="5" t="s">
        <v>1221</v>
      </c>
      <c r="B480" s="5" t="s">
        <v>1545</v>
      </c>
      <c r="C480" s="5"/>
      <c r="D480" s="5" t="s">
        <v>1221</v>
      </c>
      <c r="E480" s="5" t="s">
        <v>60</v>
      </c>
      <c r="F480" s="6" t="n">
        <v>18710.78</v>
      </c>
      <c r="G480" s="7" t="n">
        <v>1223</v>
      </c>
      <c r="H480" s="8" t="n">
        <v>11.6593</v>
      </c>
      <c r="I480" s="8" t="n">
        <v>13.5595</v>
      </c>
      <c r="J480" s="7" t="n">
        <v>304</v>
      </c>
      <c r="K480" s="5" t="n">
        <v>2</v>
      </c>
      <c r="L480" s="5" t="n">
        <v>2</v>
      </c>
      <c r="M480" s="5" t="n">
        <v>4.5</v>
      </c>
      <c r="N480" s="9" t="s">
        <v>54</v>
      </c>
      <c r="O480" s="5"/>
      <c r="P480" s="5"/>
      <c r="Q480" s="5"/>
      <c r="R480" s="7"/>
      <c r="S480" s="7"/>
      <c r="T480" s="5"/>
      <c r="U480" s="6"/>
      <c r="V480" s="7"/>
      <c r="W480" s="5"/>
      <c r="X480" s="7"/>
      <c r="Y480" s="7"/>
      <c r="Z480" s="7"/>
      <c r="AA480" s="10"/>
      <c r="AB480" s="11"/>
      <c r="AC480" s="10"/>
      <c r="AD480" s="12"/>
      <c r="AE480" s="12"/>
      <c r="AF480" s="12"/>
      <c r="AG480" s="7"/>
      <c r="AH480" s="7"/>
      <c r="AI480" s="5" t="s">
        <v>1546</v>
      </c>
    </row>
    <row r="481" customFormat="false" ht="15" hidden="false" customHeight="false" outlineLevel="0" collapsed="false">
      <c r="A481" s="5" t="s">
        <v>1221</v>
      </c>
      <c r="B481" s="5" t="s">
        <v>1547</v>
      </c>
      <c r="C481" s="5"/>
      <c r="D481" s="5" t="s">
        <v>1221</v>
      </c>
      <c r="E481" s="5" t="s">
        <v>60</v>
      </c>
      <c r="F481" s="6" t="n">
        <v>18459.79</v>
      </c>
      <c r="G481" s="7" t="n">
        <v>666</v>
      </c>
      <c r="H481" s="8" t="n">
        <v>0.1804</v>
      </c>
      <c r="I481" s="8" t="n">
        <v>-0.0334</v>
      </c>
      <c r="J481" s="7" t="n">
        <v>64</v>
      </c>
      <c r="K481" s="5" t="n">
        <v>10</v>
      </c>
      <c r="L481" s="5" t="n">
        <v>18</v>
      </c>
      <c r="M481" s="5" t="n">
        <v>4.6</v>
      </c>
      <c r="N481" s="9" t="s">
        <v>54</v>
      </c>
      <c r="O481" s="5"/>
      <c r="P481" s="5"/>
      <c r="Q481" s="5"/>
      <c r="R481" s="7"/>
      <c r="S481" s="7"/>
      <c r="T481" s="5"/>
      <c r="U481" s="6"/>
      <c r="V481" s="7"/>
      <c r="W481" s="5"/>
      <c r="X481" s="7"/>
      <c r="Y481" s="7"/>
      <c r="Z481" s="7"/>
      <c r="AA481" s="10"/>
      <c r="AB481" s="11"/>
      <c r="AC481" s="10"/>
      <c r="AD481" s="12"/>
      <c r="AE481" s="12"/>
      <c r="AF481" s="12"/>
      <c r="AG481" s="7"/>
      <c r="AH481" s="7"/>
      <c r="AI481" s="5" t="s">
        <v>1548</v>
      </c>
    </row>
    <row r="482" customFormat="false" ht="15" hidden="false" customHeight="false" outlineLevel="0" collapsed="false">
      <c r="A482" s="5" t="s">
        <v>1221</v>
      </c>
      <c r="B482" s="5" t="s">
        <v>1549</v>
      </c>
      <c r="C482" s="5"/>
      <c r="D482" s="5" t="s">
        <v>1221</v>
      </c>
      <c r="E482" s="5" t="s">
        <v>60</v>
      </c>
      <c r="F482" s="6" t="n">
        <v>18363.78</v>
      </c>
      <c r="G482" s="7" t="n">
        <v>440</v>
      </c>
      <c r="H482" s="8" t="n">
        <v>-0.0106</v>
      </c>
      <c r="I482" s="8" t="n">
        <v>-0.281</v>
      </c>
      <c r="J482" s="7" t="n">
        <v>1442</v>
      </c>
      <c r="K482" s="5" t="n">
        <v>8</v>
      </c>
      <c r="L482" s="5" t="n">
        <v>8</v>
      </c>
      <c r="M482" s="5" t="n">
        <v>4.1</v>
      </c>
      <c r="N482" s="9" t="s">
        <v>54</v>
      </c>
      <c r="O482" s="5" t="s">
        <v>258</v>
      </c>
      <c r="P482" s="5"/>
      <c r="Q482" s="5"/>
      <c r="R482" s="7"/>
      <c r="S482" s="7"/>
      <c r="T482" s="5" t="s">
        <v>1550</v>
      </c>
      <c r="U482" s="6" t="n">
        <v>39777.4</v>
      </c>
      <c r="V482" s="7" t="n">
        <v>1342</v>
      </c>
      <c r="W482" s="5" t="n">
        <v>8</v>
      </c>
      <c r="X482" s="7" t="n">
        <v>1424</v>
      </c>
      <c r="Y482" s="7" t="n">
        <v>3393</v>
      </c>
      <c r="Z482" s="7" t="n">
        <v>168</v>
      </c>
      <c r="AA482" s="10" t="n">
        <v>35</v>
      </c>
      <c r="AB482" s="11" t="n">
        <v>91</v>
      </c>
      <c r="AC482" s="10"/>
      <c r="AD482" s="12"/>
      <c r="AE482" s="12"/>
      <c r="AF482" s="12"/>
      <c r="AG482" s="7" t="n">
        <v>42</v>
      </c>
      <c r="AH482" s="7" t="n">
        <v>2376</v>
      </c>
      <c r="AI482" s="5" t="s">
        <v>1551</v>
      </c>
    </row>
    <row r="483" customFormat="false" ht="15" hidden="false" customHeight="false" outlineLevel="0" collapsed="false">
      <c r="A483" s="5" t="s">
        <v>1221</v>
      </c>
      <c r="B483" s="5" t="s">
        <v>1552</v>
      </c>
      <c r="C483" s="5" t="s">
        <v>1553</v>
      </c>
      <c r="D483" s="5" t="s">
        <v>1221</v>
      </c>
      <c r="E483" s="5" t="s">
        <v>53</v>
      </c>
      <c r="F483" s="6" t="n">
        <v>17942.51</v>
      </c>
      <c r="G483" s="7" t="n">
        <v>315</v>
      </c>
      <c r="H483" s="8" t="n">
        <v>-0.4361</v>
      </c>
      <c r="I483" s="8" t="n">
        <v>-0.5625</v>
      </c>
      <c r="J483" s="7" t="n">
        <v>201</v>
      </c>
      <c r="K483" s="5" t="n">
        <v>4</v>
      </c>
      <c r="L483" s="5" t="n">
        <v>4</v>
      </c>
      <c r="M483" s="5" t="n">
        <v>4.4</v>
      </c>
      <c r="N483" s="9" t="s">
        <v>54</v>
      </c>
      <c r="O483" s="5"/>
      <c r="P483" s="5"/>
      <c r="Q483" s="5"/>
      <c r="R483" s="7"/>
      <c r="S483" s="7"/>
      <c r="T483" s="5"/>
      <c r="U483" s="6"/>
      <c r="V483" s="7"/>
      <c r="W483" s="5"/>
      <c r="X483" s="7"/>
      <c r="Y483" s="7"/>
      <c r="Z483" s="7"/>
      <c r="AA483" s="10"/>
      <c r="AB483" s="11"/>
      <c r="AC483" s="10"/>
      <c r="AD483" s="12"/>
      <c r="AE483" s="12"/>
      <c r="AF483" s="12"/>
      <c r="AG483" s="7"/>
      <c r="AH483" s="7"/>
      <c r="AI483" s="5" t="s">
        <v>1554</v>
      </c>
    </row>
    <row r="484" customFormat="false" ht="15" hidden="false" customHeight="false" outlineLevel="0" collapsed="false">
      <c r="A484" s="5" t="s">
        <v>1221</v>
      </c>
      <c r="B484" s="5" t="s">
        <v>1555</v>
      </c>
      <c r="C484" s="5" t="s">
        <v>1556</v>
      </c>
      <c r="D484" s="5" t="s">
        <v>1221</v>
      </c>
      <c r="E484" s="5" t="s">
        <v>60</v>
      </c>
      <c r="F484" s="6" t="n">
        <v>16999.82</v>
      </c>
      <c r="G484" s="7" t="n">
        <v>701</v>
      </c>
      <c r="H484" s="8" t="n">
        <v>-0.6066</v>
      </c>
      <c r="I484" s="8" t="n">
        <v>-0.7731</v>
      </c>
      <c r="J484" s="7" t="n">
        <v>128</v>
      </c>
      <c r="K484" s="5" t="n">
        <v>3</v>
      </c>
      <c r="L484" s="5" t="n">
        <v>7</v>
      </c>
      <c r="M484" s="5" t="n">
        <v>4.2</v>
      </c>
      <c r="N484" s="9" t="s">
        <v>54</v>
      </c>
      <c r="O484" s="5"/>
      <c r="P484" s="5"/>
      <c r="Q484" s="5"/>
      <c r="R484" s="7"/>
      <c r="S484" s="7"/>
      <c r="T484" s="5"/>
      <c r="U484" s="6"/>
      <c r="V484" s="7"/>
      <c r="W484" s="5"/>
      <c r="X484" s="7"/>
      <c r="Y484" s="7"/>
      <c r="Z484" s="7"/>
      <c r="AA484" s="10"/>
      <c r="AB484" s="11"/>
      <c r="AC484" s="10"/>
      <c r="AD484" s="12"/>
      <c r="AE484" s="12"/>
      <c r="AF484" s="12"/>
      <c r="AG484" s="7"/>
      <c r="AH484" s="7"/>
      <c r="AI484" s="5" t="s">
        <v>1557</v>
      </c>
    </row>
    <row r="485" customFormat="false" ht="15" hidden="false" customHeight="false" outlineLevel="0" collapsed="false">
      <c r="A485" s="5" t="s">
        <v>1221</v>
      </c>
      <c r="B485" s="5" t="s">
        <v>1558</v>
      </c>
      <c r="C485" s="5" t="s">
        <v>1559</v>
      </c>
      <c r="D485" s="5" t="s">
        <v>1221</v>
      </c>
      <c r="E485" s="5" t="s">
        <v>53</v>
      </c>
      <c r="F485" s="6" t="n">
        <v>16721.52</v>
      </c>
      <c r="G485" s="7" t="n">
        <v>2500</v>
      </c>
      <c r="H485" s="8" t="n">
        <v>0.1518</v>
      </c>
      <c r="I485" s="8" t="n">
        <v>0.072</v>
      </c>
      <c r="J485" s="7" t="n">
        <v>159</v>
      </c>
      <c r="K485" s="5" t="n">
        <v>24</v>
      </c>
      <c r="L485" s="5" t="n">
        <v>30</v>
      </c>
      <c r="M485" s="5" t="n">
        <v>4.3</v>
      </c>
      <c r="N485" s="9" t="s">
        <v>54</v>
      </c>
      <c r="O485" s="5"/>
      <c r="P485" s="5"/>
      <c r="Q485" s="5"/>
      <c r="R485" s="7"/>
      <c r="S485" s="7"/>
      <c r="T485" s="5"/>
      <c r="U485" s="6"/>
      <c r="V485" s="7"/>
      <c r="W485" s="5"/>
      <c r="X485" s="7"/>
      <c r="Y485" s="7"/>
      <c r="Z485" s="7"/>
      <c r="AA485" s="10"/>
      <c r="AB485" s="11"/>
      <c r="AC485" s="10"/>
      <c r="AD485" s="12"/>
      <c r="AE485" s="12"/>
      <c r="AF485" s="12"/>
      <c r="AG485" s="7"/>
      <c r="AH485" s="7"/>
      <c r="AI485" s="5" t="s">
        <v>1560</v>
      </c>
    </row>
    <row r="486" customFormat="false" ht="15" hidden="false" customHeight="false" outlineLevel="0" collapsed="false">
      <c r="A486" s="5" t="s">
        <v>428</v>
      </c>
      <c r="B486" s="5" t="s">
        <v>1561</v>
      </c>
      <c r="C486" s="5"/>
      <c r="D486" s="5" t="s">
        <v>428</v>
      </c>
      <c r="E486" s="5" t="s">
        <v>53</v>
      </c>
      <c r="F486" s="6" t="n">
        <v>15119.67</v>
      </c>
      <c r="G486" s="7" t="n">
        <v>981</v>
      </c>
      <c r="H486" s="8" t="n">
        <v>-0.3861</v>
      </c>
      <c r="I486" s="8" t="n">
        <v>-0.488</v>
      </c>
      <c r="J486" s="7" t="n">
        <v>183</v>
      </c>
      <c r="K486" s="5" t="n">
        <v>16</v>
      </c>
      <c r="L486" s="5" t="n">
        <v>37</v>
      </c>
      <c r="M486" s="5" t="n">
        <v>4.1</v>
      </c>
      <c r="N486" s="9" t="s">
        <v>54</v>
      </c>
      <c r="O486" s="5"/>
      <c r="P486" s="5"/>
      <c r="Q486" s="5"/>
      <c r="R486" s="7"/>
      <c r="S486" s="7"/>
      <c r="T486" s="5"/>
      <c r="U486" s="6"/>
      <c r="V486" s="7"/>
      <c r="W486" s="5"/>
      <c r="X486" s="7"/>
      <c r="Y486" s="7"/>
      <c r="Z486" s="7"/>
      <c r="AA486" s="10"/>
      <c r="AB486" s="11"/>
      <c r="AC486" s="10"/>
      <c r="AD486" s="12"/>
      <c r="AE486" s="12"/>
      <c r="AF486" s="12"/>
      <c r="AG486" s="7"/>
      <c r="AH486" s="7"/>
      <c r="AI486" s="5" t="s">
        <v>1562</v>
      </c>
    </row>
    <row r="487" customFormat="false" ht="15" hidden="false" customHeight="false" outlineLevel="0" collapsed="false">
      <c r="A487" s="5" t="s">
        <v>428</v>
      </c>
      <c r="B487" s="5" t="s">
        <v>1563</v>
      </c>
      <c r="C487" s="5"/>
      <c r="D487" s="5" t="s">
        <v>428</v>
      </c>
      <c r="E487" s="5" t="s">
        <v>60</v>
      </c>
      <c r="F487" s="6" t="n">
        <v>14930.54</v>
      </c>
      <c r="G487" s="7" t="n">
        <v>524</v>
      </c>
      <c r="H487" s="8" t="n">
        <v>0</v>
      </c>
      <c r="I487" s="8" t="n">
        <v>0</v>
      </c>
      <c r="J487" s="7" t="n">
        <v>7</v>
      </c>
      <c r="K487" s="5" t="n">
        <v>7</v>
      </c>
      <c r="L487" s="5" t="n">
        <v>230</v>
      </c>
      <c r="M487" s="5" t="n">
        <v>3.6</v>
      </c>
      <c r="N487" s="9" t="s">
        <v>54</v>
      </c>
      <c r="O487" s="5"/>
      <c r="P487" s="5"/>
      <c r="Q487" s="5"/>
      <c r="R487" s="7"/>
      <c r="S487" s="7"/>
      <c r="T487" s="5"/>
      <c r="U487" s="6"/>
      <c r="V487" s="7"/>
      <c r="W487" s="5"/>
      <c r="X487" s="7"/>
      <c r="Y487" s="7"/>
      <c r="Z487" s="7"/>
      <c r="AA487" s="10"/>
      <c r="AB487" s="11"/>
      <c r="AC487" s="10"/>
      <c r="AD487" s="12"/>
      <c r="AE487" s="12"/>
      <c r="AF487" s="12"/>
      <c r="AG487" s="7"/>
      <c r="AH487" s="7"/>
      <c r="AI487" s="5" t="s">
        <v>1564</v>
      </c>
    </row>
    <row r="488" customFormat="false" ht="15" hidden="false" customHeight="false" outlineLevel="0" collapsed="false">
      <c r="A488" s="5" t="s">
        <v>428</v>
      </c>
      <c r="B488" s="5" t="s">
        <v>1565</v>
      </c>
      <c r="C488" s="5"/>
      <c r="D488" s="5" t="s">
        <v>428</v>
      </c>
      <c r="E488" s="5" t="s">
        <v>60</v>
      </c>
      <c r="F488" s="6" t="n">
        <v>14920.1</v>
      </c>
      <c r="G488" s="7" t="n">
        <v>831</v>
      </c>
      <c r="H488" s="8" t="n">
        <v>5.0012</v>
      </c>
      <c r="I488" s="8" t="n">
        <v>3.8596</v>
      </c>
      <c r="J488" s="7" t="n">
        <v>28</v>
      </c>
      <c r="K488" s="5" t="n">
        <v>10</v>
      </c>
      <c r="L488" s="5" t="n">
        <v>110</v>
      </c>
      <c r="M488" s="5" t="n">
        <v>4.5</v>
      </c>
      <c r="N488" s="9" t="s">
        <v>54</v>
      </c>
      <c r="O488" s="5"/>
      <c r="P488" s="5"/>
      <c r="Q488" s="5"/>
      <c r="R488" s="7"/>
      <c r="S488" s="7"/>
      <c r="T488" s="5"/>
      <c r="U488" s="6"/>
      <c r="V488" s="7"/>
      <c r="W488" s="5"/>
      <c r="X488" s="7"/>
      <c r="Y488" s="7"/>
      <c r="Z488" s="7"/>
      <c r="AA488" s="10"/>
      <c r="AB488" s="11"/>
      <c r="AC488" s="10"/>
      <c r="AD488" s="12"/>
      <c r="AE488" s="12"/>
      <c r="AF488" s="12"/>
      <c r="AG488" s="7"/>
      <c r="AH488" s="7"/>
      <c r="AI488" s="5" t="s">
        <v>1566</v>
      </c>
    </row>
    <row r="489" customFormat="false" ht="15" hidden="false" customHeight="false" outlineLevel="0" collapsed="false">
      <c r="A489" s="5" t="s">
        <v>428</v>
      </c>
      <c r="B489" s="5" t="s">
        <v>1567</v>
      </c>
      <c r="C489" s="5" t="s">
        <v>1568</v>
      </c>
      <c r="D489" s="5" t="s">
        <v>428</v>
      </c>
      <c r="E489" s="5" t="s">
        <v>53</v>
      </c>
      <c r="F489" s="6" t="n">
        <v>14466.1</v>
      </c>
      <c r="G489" s="7" t="n">
        <v>2015</v>
      </c>
      <c r="H489" s="8" t="n">
        <v>-0.2822</v>
      </c>
      <c r="I489" s="8" t="n">
        <v>-0.2739</v>
      </c>
      <c r="J489" s="7" t="n">
        <v>227</v>
      </c>
      <c r="K489" s="5" t="n">
        <v>22</v>
      </c>
      <c r="L489" s="5" t="n">
        <v>67</v>
      </c>
      <c r="M489" s="5" t="n">
        <v>2.7</v>
      </c>
      <c r="N489" s="9" t="s">
        <v>54</v>
      </c>
      <c r="O489" s="5"/>
      <c r="P489" s="5"/>
      <c r="Q489" s="5"/>
      <c r="R489" s="7"/>
      <c r="S489" s="7"/>
      <c r="T489" s="5"/>
      <c r="U489" s="6"/>
      <c r="V489" s="7"/>
      <c r="W489" s="5"/>
      <c r="X489" s="7"/>
      <c r="Y489" s="7"/>
      <c r="Z489" s="7"/>
      <c r="AA489" s="10"/>
      <c r="AB489" s="11"/>
      <c r="AC489" s="10"/>
      <c r="AD489" s="12"/>
      <c r="AE489" s="12"/>
      <c r="AF489" s="12"/>
      <c r="AG489" s="7"/>
      <c r="AH489" s="7"/>
      <c r="AI489" s="5" t="s">
        <v>1569</v>
      </c>
    </row>
    <row r="490" customFormat="false" ht="15" hidden="false" customHeight="false" outlineLevel="0" collapsed="false">
      <c r="A490" s="5" t="s">
        <v>428</v>
      </c>
      <c r="B490" s="5" t="s">
        <v>1570</v>
      </c>
      <c r="C490" s="5"/>
      <c r="D490" s="5" t="s">
        <v>428</v>
      </c>
      <c r="E490" s="5" t="s">
        <v>53</v>
      </c>
      <c r="F490" s="6" t="n">
        <v>14126.04</v>
      </c>
      <c r="G490" s="7" t="n">
        <v>254</v>
      </c>
      <c r="H490" s="8" t="n">
        <v>-0.5298</v>
      </c>
      <c r="I490" s="8" t="n">
        <v>-0.5822</v>
      </c>
      <c r="J490" s="7" t="n">
        <v>64</v>
      </c>
      <c r="K490" s="5" t="n">
        <v>2</v>
      </c>
      <c r="L490" s="5" t="n">
        <v>3</v>
      </c>
      <c r="M490" s="5" t="n">
        <v>2.5</v>
      </c>
      <c r="N490" s="9" t="s">
        <v>54</v>
      </c>
      <c r="O490" s="5"/>
      <c r="P490" s="5"/>
      <c r="Q490" s="5"/>
      <c r="R490" s="7"/>
      <c r="S490" s="7"/>
      <c r="T490" s="5"/>
      <c r="U490" s="6"/>
      <c r="V490" s="7"/>
      <c r="W490" s="5"/>
      <c r="X490" s="7"/>
      <c r="Y490" s="7"/>
      <c r="Z490" s="7"/>
      <c r="AA490" s="10"/>
      <c r="AB490" s="11"/>
      <c r="AC490" s="10"/>
      <c r="AD490" s="12"/>
      <c r="AE490" s="12"/>
      <c r="AF490" s="12"/>
      <c r="AG490" s="7"/>
      <c r="AH490" s="7"/>
      <c r="AI490" s="5" t="s">
        <v>1571</v>
      </c>
    </row>
    <row r="491" customFormat="false" ht="15" hidden="false" customHeight="false" outlineLevel="0" collapsed="false">
      <c r="A491" s="5" t="s">
        <v>428</v>
      </c>
      <c r="B491" s="5" t="s">
        <v>1572</v>
      </c>
      <c r="C491" s="5"/>
      <c r="D491" s="5" t="s">
        <v>428</v>
      </c>
      <c r="E491" s="5" t="s">
        <v>53</v>
      </c>
      <c r="F491" s="6" t="n">
        <v>13966.53</v>
      </c>
      <c r="G491" s="7" t="n">
        <v>422</v>
      </c>
      <c r="H491" s="8" t="n">
        <v>0.2672</v>
      </c>
      <c r="I491" s="8" t="n">
        <v>0.3312</v>
      </c>
      <c r="J491" s="7" t="n">
        <v>128</v>
      </c>
      <c r="K491" s="5" t="n">
        <v>18</v>
      </c>
      <c r="L491" s="5" t="n">
        <v>282</v>
      </c>
      <c r="M491" s="5" t="n">
        <v>0.7</v>
      </c>
      <c r="N491" s="9" t="s">
        <v>54</v>
      </c>
      <c r="O491" s="5"/>
      <c r="P491" s="5"/>
      <c r="Q491" s="5"/>
      <c r="R491" s="7"/>
      <c r="S491" s="7"/>
      <c r="T491" s="5"/>
      <c r="U491" s="6"/>
      <c r="V491" s="7"/>
      <c r="W491" s="5"/>
      <c r="X491" s="7"/>
      <c r="Y491" s="7"/>
      <c r="Z491" s="7"/>
      <c r="AA491" s="10"/>
      <c r="AB491" s="11"/>
      <c r="AC491" s="10"/>
      <c r="AD491" s="12"/>
      <c r="AE491" s="12"/>
      <c r="AF491" s="12"/>
      <c r="AG491" s="7"/>
      <c r="AH491" s="7"/>
      <c r="AI491" s="5" t="s">
        <v>1573</v>
      </c>
    </row>
    <row r="492" customFormat="false" ht="15" hidden="false" customHeight="false" outlineLevel="0" collapsed="false">
      <c r="A492" s="5" t="s">
        <v>428</v>
      </c>
      <c r="B492" s="5" t="s">
        <v>1574</v>
      </c>
      <c r="C492" s="5"/>
      <c r="D492" s="5" t="s">
        <v>428</v>
      </c>
      <c r="E492" s="5" t="s">
        <v>53</v>
      </c>
      <c r="F492" s="6" t="n">
        <v>13873.29</v>
      </c>
      <c r="G492" s="7" t="n">
        <v>670</v>
      </c>
      <c r="H492" s="8" t="n">
        <v>0.6107</v>
      </c>
      <c r="I492" s="8" t="n">
        <v>-0.2678</v>
      </c>
      <c r="J492" s="7" t="n">
        <v>39</v>
      </c>
      <c r="K492" s="5" t="n">
        <v>3</v>
      </c>
      <c r="L492" s="5" t="n">
        <v>15</v>
      </c>
      <c r="M492" s="5" t="n">
        <v>4</v>
      </c>
      <c r="N492" s="9" t="s">
        <v>54</v>
      </c>
      <c r="O492" s="5"/>
      <c r="P492" s="5"/>
      <c r="Q492" s="5"/>
      <c r="R492" s="7"/>
      <c r="S492" s="7"/>
      <c r="T492" s="5"/>
      <c r="U492" s="6"/>
      <c r="V492" s="7"/>
      <c r="W492" s="5"/>
      <c r="X492" s="7"/>
      <c r="Y492" s="7"/>
      <c r="Z492" s="7"/>
      <c r="AA492" s="10"/>
      <c r="AB492" s="11"/>
      <c r="AC492" s="10"/>
      <c r="AD492" s="12"/>
      <c r="AE492" s="12"/>
      <c r="AF492" s="12"/>
      <c r="AG492" s="7"/>
      <c r="AH492" s="7"/>
      <c r="AI492" s="5" t="s">
        <v>1575</v>
      </c>
    </row>
    <row r="493" customFormat="false" ht="15" hidden="false" customHeight="false" outlineLevel="0" collapsed="false">
      <c r="A493" s="5" t="s">
        <v>428</v>
      </c>
      <c r="B493" s="5" t="s">
        <v>1576</v>
      </c>
      <c r="C493" s="5" t="s">
        <v>1577</v>
      </c>
      <c r="D493" s="5" t="s">
        <v>428</v>
      </c>
      <c r="E493" s="5" t="s">
        <v>53</v>
      </c>
      <c r="F493" s="6" t="n">
        <v>13715.21</v>
      </c>
      <c r="G493" s="7" t="n">
        <v>4985</v>
      </c>
      <c r="H493" s="8" t="n">
        <v>0.4328</v>
      </c>
      <c r="I493" s="8" t="n">
        <v>0.4788</v>
      </c>
      <c r="J493" s="7" t="n">
        <v>126</v>
      </c>
      <c r="K493" s="5" t="n">
        <v>3</v>
      </c>
      <c r="L493" s="5" t="n">
        <v>5</v>
      </c>
      <c r="M493" s="5" t="n">
        <v>4</v>
      </c>
      <c r="N493" s="9" t="s">
        <v>54</v>
      </c>
      <c r="O493" s="5"/>
      <c r="P493" s="5"/>
      <c r="Q493" s="5"/>
      <c r="R493" s="7"/>
      <c r="S493" s="7"/>
      <c r="T493" s="5"/>
      <c r="U493" s="6"/>
      <c r="V493" s="7"/>
      <c r="W493" s="5"/>
      <c r="X493" s="7"/>
      <c r="Y493" s="7"/>
      <c r="Z493" s="7"/>
      <c r="AA493" s="10"/>
      <c r="AB493" s="11"/>
      <c r="AC493" s="10"/>
      <c r="AD493" s="12"/>
      <c r="AE493" s="12"/>
      <c r="AF493" s="12"/>
      <c r="AG493" s="7"/>
      <c r="AH493" s="7"/>
      <c r="AI493" s="5" t="s">
        <v>1578</v>
      </c>
    </row>
    <row r="494" customFormat="false" ht="15" hidden="false" customHeight="false" outlineLevel="0" collapsed="false">
      <c r="A494" s="5" t="s">
        <v>428</v>
      </c>
      <c r="B494" s="5" t="s">
        <v>1579</v>
      </c>
      <c r="C494" s="5" t="s">
        <v>1580</v>
      </c>
      <c r="D494" s="5" t="s">
        <v>428</v>
      </c>
      <c r="E494" s="5" t="s">
        <v>53</v>
      </c>
      <c r="F494" s="6" t="n">
        <v>13569.39</v>
      </c>
      <c r="G494" s="7" t="n">
        <v>702</v>
      </c>
      <c r="H494" s="8" t="n">
        <v>0.9348</v>
      </c>
      <c r="I494" s="8" t="n">
        <v>0.7463</v>
      </c>
      <c r="J494" s="7" t="n">
        <v>105</v>
      </c>
      <c r="K494" s="5" t="n">
        <v>6</v>
      </c>
      <c r="L494" s="5" t="n">
        <v>10</v>
      </c>
      <c r="M494" s="5" t="n">
        <v>4.8</v>
      </c>
      <c r="N494" s="9" t="s">
        <v>54</v>
      </c>
      <c r="O494" s="5"/>
      <c r="P494" s="5"/>
      <c r="Q494" s="5"/>
      <c r="R494" s="7"/>
      <c r="S494" s="7"/>
      <c r="T494" s="5"/>
      <c r="U494" s="6"/>
      <c r="V494" s="7"/>
      <c r="W494" s="5"/>
      <c r="X494" s="7"/>
      <c r="Y494" s="7"/>
      <c r="Z494" s="7"/>
      <c r="AA494" s="10"/>
      <c r="AB494" s="11"/>
      <c r="AC494" s="10"/>
      <c r="AD494" s="12"/>
      <c r="AE494" s="12"/>
      <c r="AF494" s="12"/>
      <c r="AG494" s="7"/>
      <c r="AH494" s="7"/>
      <c r="AI494" s="5" t="s">
        <v>1581</v>
      </c>
    </row>
    <row r="495" customFormat="false" ht="15" hidden="false" customHeight="false" outlineLevel="0" collapsed="false">
      <c r="A495" s="5" t="s">
        <v>428</v>
      </c>
      <c r="B495" s="5" t="s">
        <v>1582</v>
      </c>
      <c r="C495" s="5" t="s">
        <v>1583</v>
      </c>
      <c r="D495" s="5" t="s">
        <v>428</v>
      </c>
      <c r="E495" s="5" t="s">
        <v>53</v>
      </c>
      <c r="F495" s="6" t="n">
        <v>13510.46</v>
      </c>
      <c r="G495" s="7" t="n">
        <v>1494</v>
      </c>
      <c r="H495" s="8" t="n">
        <v>0.0143</v>
      </c>
      <c r="I495" s="8" t="n">
        <v>0.0007</v>
      </c>
      <c r="J495" s="7" t="n">
        <v>135</v>
      </c>
      <c r="K495" s="5" t="n">
        <v>19</v>
      </c>
      <c r="L495" s="5" t="n">
        <v>47</v>
      </c>
      <c r="M495" s="5" t="n">
        <v>3.4</v>
      </c>
      <c r="N495" s="9" t="s">
        <v>54</v>
      </c>
      <c r="O495" s="5"/>
      <c r="P495" s="5"/>
      <c r="Q495" s="5"/>
      <c r="R495" s="7"/>
      <c r="S495" s="7"/>
      <c r="T495" s="5"/>
      <c r="U495" s="6"/>
      <c r="V495" s="7"/>
      <c r="W495" s="5"/>
      <c r="X495" s="7"/>
      <c r="Y495" s="7"/>
      <c r="Z495" s="7"/>
      <c r="AA495" s="10"/>
      <c r="AB495" s="11"/>
      <c r="AC495" s="10"/>
      <c r="AD495" s="12"/>
      <c r="AE495" s="12"/>
      <c r="AF495" s="12"/>
      <c r="AG495" s="7"/>
      <c r="AH495" s="7"/>
      <c r="AI495" s="5" t="s">
        <v>1584</v>
      </c>
    </row>
    <row r="496" customFormat="false" ht="15" hidden="false" customHeight="false" outlineLevel="0" collapsed="false">
      <c r="A496" s="5" t="s">
        <v>428</v>
      </c>
      <c r="B496" s="5" t="s">
        <v>1585</v>
      </c>
      <c r="C496" s="5"/>
      <c r="D496" s="5" t="s">
        <v>428</v>
      </c>
      <c r="E496" s="5" t="s">
        <v>53</v>
      </c>
      <c r="F496" s="6" t="n">
        <v>12475.08</v>
      </c>
      <c r="G496" s="7" t="n">
        <v>1009</v>
      </c>
      <c r="H496" s="8" t="n">
        <v>0.4951</v>
      </c>
      <c r="I496" s="8" t="n">
        <v>0.4151</v>
      </c>
      <c r="J496" s="7" t="n">
        <v>1</v>
      </c>
      <c r="K496" s="5" t="n">
        <v>13</v>
      </c>
      <c r="L496" s="5" t="n">
        <v>175</v>
      </c>
      <c r="M496" s="5" t="n">
        <v>3.9</v>
      </c>
      <c r="N496" s="9" t="s">
        <v>54</v>
      </c>
      <c r="O496" s="5"/>
      <c r="P496" s="5"/>
      <c r="Q496" s="5"/>
      <c r="R496" s="7"/>
      <c r="S496" s="7"/>
      <c r="T496" s="5"/>
      <c r="U496" s="6"/>
      <c r="V496" s="7"/>
      <c r="W496" s="5"/>
      <c r="X496" s="7"/>
      <c r="Y496" s="7"/>
      <c r="Z496" s="7"/>
      <c r="AA496" s="10"/>
      <c r="AB496" s="11"/>
      <c r="AC496" s="10"/>
      <c r="AD496" s="12"/>
      <c r="AE496" s="12"/>
      <c r="AF496" s="12"/>
      <c r="AG496" s="7"/>
      <c r="AH496" s="7"/>
      <c r="AI496" s="5" t="s">
        <v>1586</v>
      </c>
    </row>
    <row r="497" customFormat="false" ht="15" hidden="false" customHeight="false" outlineLevel="0" collapsed="false">
      <c r="A497" s="5" t="s">
        <v>428</v>
      </c>
      <c r="B497" s="5" t="s">
        <v>1587</v>
      </c>
      <c r="C497" s="5" t="s">
        <v>1587</v>
      </c>
      <c r="D497" s="5" t="s">
        <v>59</v>
      </c>
      <c r="E497" s="5" t="s">
        <v>60</v>
      </c>
      <c r="F497" s="6" t="n">
        <v>12465.91</v>
      </c>
      <c r="G497" s="7" t="n">
        <v>306</v>
      </c>
      <c r="H497" s="8" t="n">
        <v>5.0345</v>
      </c>
      <c r="I497" s="8" t="n">
        <v>4.5636</v>
      </c>
      <c r="J497" s="7" t="n">
        <v>226</v>
      </c>
      <c r="K497" s="5" t="n">
        <v>10</v>
      </c>
      <c r="L497" s="5" t="n">
        <v>1018</v>
      </c>
      <c r="M497" s="5" t="n">
        <v>4.5</v>
      </c>
      <c r="N497" s="15" t="s">
        <v>151</v>
      </c>
      <c r="O497" s="5" t="s">
        <v>1588</v>
      </c>
      <c r="P497" s="5"/>
      <c r="Q497" s="5"/>
      <c r="R497" s="7"/>
      <c r="S497" s="7"/>
      <c r="T497" s="5"/>
      <c r="U497" s="6"/>
      <c r="V497" s="7"/>
      <c r="W497" s="5"/>
      <c r="X497" s="7"/>
      <c r="Y497" s="7"/>
      <c r="Z497" s="7"/>
      <c r="AA497" s="10"/>
      <c r="AB497" s="11"/>
      <c r="AC497" s="10"/>
      <c r="AD497" s="12"/>
      <c r="AE497" s="12"/>
      <c r="AF497" s="12"/>
      <c r="AG497" s="7"/>
      <c r="AH497" s="7"/>
      <c r="AI497" s="5" t="s">
        <v>1589</v>
      </c>
    </row>
    <row r="498" customFormat="false" ht="15" hidden="false" customHeight="false" outlineLevel="0" collapsed="false">
      <c r="A498" s="5" t="s">
        <v>428</v>
      </c>
      <c r="B498" s="5" t="s">
        <v>1590</v>
      </c>
      <c r="C498" s="5" t="s">
        <v>1591</v>
      </c>
      <c r="D498" s="5" t="s">
        <v>428</v>
      </c>
      <c r="E498" s="5" t="s">
        <v>53</v>
      </c>
      <c r="F498" s="6" t="n">
        <v>12399.36</v>
      </c>
      <c r="G498" s="7" t="n">
        <v>565</v>
      </c>
      <c r="H498" s="8" t="n">
        <v>0.4092</v>
      </c>
      <c r="I498" s="8" t="n">
        <v>0.3614</v>
      </c>
      <c r="J498" s="7" t="n">
        <v>85</v>
      </c>
      <c r="K498" s="5" t="n">
        <v>9</v>
      </c>
      <c r="L498" s="5" t="n">
        <v>9</v>
      </c>
      <c r="M498" s="5" t="n">
        <v>4.8</v>
      </c>
      <c r="N498" s="9" t="s">
        <v>54</v>
      </c>
      <c r="O498" s="5"/>
      <c r="P498" s="5"/>
      <c r="Q498" s="5"/>
      <c r="R498" s="7"/>
      <c r="S498" s="7"/>
      <c r="T498" s="5"/>
      <c r="U498" s="6"/>
      <c r="V498" s="7"/>
      <c r="W498" s="5"/>
      <c r="X498" s="7"/>
      <c r="Y498" s="7"/>
      <c r="Z498" s="7"/>
      <c r="AA498" s="10"/>
      <c r="AB498" s="11"/>
      <c r="AC498" s="10"/>
      <c r="AD498" s="12"/>
      <c r="AE498" s="12"/>
      <c r="AF498" s="12"/>
      <c r="AG498" s="7"/>
      <c r="AH498" s="7"/>
      <c r="AI498" s="5" t="s">
        <v>1592</v>
      </c>
    </row>
    <row r="499" customFormat="false" ht="15" hidden="false" customHeight="false" outlineLevel="0" collapsed="false">
      <c r="A499" s="5" t="s">
        <v>428</v>
      </c>
      <c r="B499" s="5" t="s">
        <v>1593</v>
      </c>
      <c r="C499" s="5" t="s">
        <v>1594</v>
      </c>
      <c r="D499" s="5" t="s">
        <v>428</v>
      </c>
      <c r="E499" s="5" t="s">
        <v>53</v>
      </c>
      <c r="F499" s="6" t="n">
        <v>11984.92</v>
      </c>
      <c r="G499" s="7" t="n">
        <v>750</v>
      </c>
      <c r="H499" s="8" t="n">
        <v>0.2049</v>
      </c>
      <c r="I499" s="8" t="n">
        <v>0.0745</v>
      </c>
      <c r="J499" s="7" t="n">
        <v>73</v>
      </c>
      <c r="K499" s="5" t="n">
        <v>7</v>
      </c>
      <c r="L499" s="5" t="n">
        <v>7</v>
      </c>
      <c r="M499" s="5" t="n">
        <v>4.7</v>
      </c>
      <c r="N499" s="9" t="s">
        <v>54</v>
      </c>
      <c r="O499" s="5"/>
      <c r="P499" s="5"/>
      <c r="Q499" s="5"/>
      <c r="R499" s="7"/>
      <c r="S499" s="7"/>
      <c r="T499" s="5"/>
      <c r="U499" s="6"/>
      <c r="V499" s="7"/>
      <c r="W499" s="5"/>
      <c r="X499" s="7"/>
      <c r="Y499" s="7"/>
      <c r="Z499" s="7"/>
      <c r="AA499" s="10"/>
      <c r="AB499" s="11"/>
      <c r="AC499" s="10"/>
      <c r="AD499" s="12"/>
      <c r="AE499" s="12"/>
      <c r="AF499" s="12"/>
      <c r="AG499" s="7"/>
      <c r="AH499" s="7"/>
      <c r="AI499" s="5" t="s">
        <v>1595</v>
      </c>
    </row>
    <row r="500" customFormat="false" ht="15" hidden="false" customHeight="false" outlineLevel="0" collapsed="false">
      <c r="A500" s="5" t="s">
        <v>428</v>
      </c>
      <c r="B500" s="5" t="s">
        <v>1596</v>
      </c>
      <c r="C500" s="5" t="s">
        <v>1596</v>
      </c>
      <c r="D500" s="5" t="s">
        <v>428</v>
      </c>
      <c r="E500" s="5" t="s">
        <v>60</v>
      </c>
      <c r="F500" s="6" t="n">
        <v>11668.4</v>
      </c>
      <c r="G500" s="7" t="n">
        <v>173</v>
      </c>
      <c r="H500" s="8" t="n">
        <v>-0.8267</v>
      </c>
      <c r="I500" s="8" t="n">
        <v>-0.8476</v>
      </c>
      <c r="J500" s="7" t="n">
        <v>36</v>
      </c>
      <c r="K500" s="5" t="n">
        <v>3</v>
      </c>
      <c r="L500" s="5" t="n">
        <v>3</v>
      </c>
      <c r="M500" s="5" t="n">
        <v>3.2</v>
      </c>
      <c r="N500" s="9" t="s">
        <v>54</v>
      </c>
      <c r="O500" s="5"/>
      <c r="P500" s="5"/>
      <c r="Q500" s="5"/>
      <c r="R500" s="7"/>
      <c r="S500" s="7"/>
      <c r="T500" s="5"/>
      <c r="U500" s="6"/>
      <c r="V500" s="7"/>
      <c r="W500" s="5"/>
      <c r="X500" s="7"/>
      <c r="Y500" s="7"/>
      <c r="Z500" s="7"/>
      <c r="AA500" s="10"/>
      <c r="AB500" s="11"/>
      <c r="AC500" s="10"/>
      <c r="AD500" s="12"/>
      <c r="AE500" s="12"/>
      <c r="AF500" s="12"/>
      <c r="AG500" s="7"/>
      <c r="AH500" s="7"/>
      <c r="AI500" s="5" t="s">
        <v>1597</v>
      </c>
    </row>
    <row r="501" customFormat="false" ht="15" hidden="false" customHeight="false" outlineLevel="0" collapsed="false">
      <c r="A501" s="5" t="s">
        <v>428</v>
      </c>
      <c r="B501" s="5" t="s">
        <v>1598</v>
      </c>
      <c r="C501" s="5" t="s">
        <v>1598</v>
      </c>
      <c r="D501" s="5" t="s">
        <v>428</v>
      </c>
      <c r="E501" s="5" t="s">
        <v>60</v>
      </c>
      <c r="F501" s="6" t="n">
        <v>11493.2</v>
      </c>
      <c r="G501" s="7" t="n">
        <v>332</v>
      </c>
      <c r="H501" s="8" t="n">
        <v>-0.1977</v>
      </c>
      <c r="I501" s="8" t="n">
        <v>-0.1883</v>
      </c>
      <c r="J501" s="7" t="n">
        <v>32</v>
      </c>
      <c r="K501" s="5" t="n">
        <v>9</v>
      </c>
      <c r="L501" s="5" t="n">
        <v>35</v>
      </c>
      <c r="M501" s="5" t="n">
        <v>3.2</v>
      </c>
      <c r="N501" s="9" t="s">
        <v>54</v>
      </c>
      <c r="O501" s="5"/>
      <c r="P501" s="5"/>
      <c r="Q501" s="5"/>
      <c r="R501" s="7"/>
      <c r="S501" s="7"/>
      <c r="T501" s="5"/>
      <c r="U501" s="6"/>
      <c r="V501" s="7"/>
      <c r="W501" s="5"/>
      <c r="X501" s="7"/>
      <c r="Y501" s="7"/>
      <c r="Z501" s="7"/>
      <c r="AA501" s="10"/>
      <c r="AB501" s="11"/>
      <c r="AC501" s="10"/>
      <c r="AD501" s="12"/>
      <c r="AE501" s="12"/>
      <c r="AF501" s="12"/>
      <c r="AG501" s="7"/>
      <c r="AH501" s="7"/>
      <c r="AI501" s="5" t="s">
        <v>1599</v>
      </c>
    </row>
    <row r="502" customFormat="false" ht="15" hidden="false" customHeight="false" outlineLevel="0" collapsed="false">
      <c r="A502" s="5" t="s">
        <v>428</v>
      </c>
      <c r="B502" s="5" t="s">
        <v>1600</v>
      </c>
      <c r="C502" s="5" t="s">
        <v>1601</v>
      </c>
      <c r="D502" s="5" t="s">
        <v>428</v>
      </c>
      <c r="E502" s="5" t="s">
        <v>53</v>
      </c>
      <c r="F502" s="6" t="n">
        <v>11097.9</v>
      </c>
      <c r="G502" s="7" t="n">
        <v>468</v>
      </c>
      <c r="H502" s="8" t="n">
        <v>-0.3802</v>
      </c>
      <c r="I502" s="8" t="n">
        <v>-0.4382</v>
      </c>
      <c r="J502" s="7" t="n">
        <v>89</v>
      </c>
      <c r="K502" s="5" t="n">
        <v>7</v>
      </c>
      <c r="L502" s="5" t="n">
        <v>9</v>
      </c>
      <c r="M502" s="5" t="n">
        <v>3.8</v>
      </c>
      <c r="N502" s="9" t="s">
        <v>54</v>
      </c>
      <c r="O502" s="5"/>
      <c r="P502" s="5"/>
      <c r="Q502" s="5"/>
      <c r="R502" s="7"/>
      <c r="S502" s="7"/>
      <c r="T502" s="5"/>
      <c r="U502" s="6"/>
      <c r="V502" s="7"/>
      <c r="W502" s="5"/>
      <c r="X502" s="7"/>
      <c r="Y502" s="7"/>
      <c r="Z502" s="7"/>
      <c r="AA502" s="10"/>
      <c r="AB502" s="11"/>
      <c r="AC502" s="10"/>
      <c r="AD502" s="12"/>
      <c r="AE502" s="12"/>
      <c r="AF502" s="12"/>
      <c r="AG502" s="7"/>
      <c r="AH502" s="7"/>
      <c r="AI502" s="5" t="s">
        <v>1602</v>
      </c>
    </row>
    <row r="503" customFormat="false" ht="15" hidden="false" customHeight="false" outlineLevel="0" collapsed="false">
      <c r="A503" s="5" t="s">
        <v>428</v>
      </c>
      <c r="B503" s="5" t="s">
        <v>1603</v>
      </c>
      <c r="C503" s="5"/>
      <c r="D503" s="5" t="s">
        <v>428</v>
      </c>
      <c r="E503" s="5" t="s">
        <v>60</v>
      </c>
      <c r="F503" s="6" t="n">
        <v>11080.14</v>
      </c>
      <c r="G503" s="7" t="n">
        <v>1356</v>
      </c>
      <c r="H503" s="8" t="n">
        <v>-0.03</v>
      </c>
      <c r="I503" s="8" t="n">
        <v>-0.2103</v>
      </c>
      <c r="J503" s="7" t="n">
        <v>65</v>
      </c>
      <c r="K503" s="5" t="n">
        <v>5</v>
      </c>
      <c r="L503" s="5" t="n">
        <v>5</v>
      </c>
      <c r="M503" s="5" t="n">
        <v>4.2</v>
      </c>
      <c r="N503" s="9" t="s">
        <v>54</v>
      </c>
      <c r="O503" s="5"/>
      <c r="P503" s="5" t="s">
        <v>1604</v>
      </c>
      <c r="Q503" s="14" t="s">
        <v>1605</v>
      </c>
      <c r="R503" s="7" t="n">
        <v>36117</v>
      </c>
      <c r="S503" s="7" t="n">
        <v>133</v>
      </c>
      <c r="T503" s="5" t="s">
        <v>1606</v>
      </c>
      <c r="U503" s="6" t="n">
        <v>138276.79</v>
      </c>
      <c r="V503" s="7" t="n">
        <v>19302</v>
      </c>
      <c r="W503" s="5" t="n">
        <v>5</v>
      </c>
      <c r="X503" s="7" t="n">
        <v>452</v>
      </c>
      <c r="Y503" s="7" t="n">
        <v>1715</v>
      </c>
      <c r="Z503" s="7" t="n">
        <v>590</v>
      </c>
      <c r="AA503" s="10" t="n">
        <v>2.7</v>
      </c>
      <c r="AB503" s="11" t="n">
        <v>14.1</v>
      </c>
      <c r="AC503" s="10" t="n">
        <v>5.81</v>
      </c>
      <c r="AD503" s="12" t="n">
        <v>0.92</v>
      </c>
      <c r="AE503" s="12" t="n">
        <v>0.85</v>
      </c>
      <c r="AF503" s="12" t="n">
        <v>1</v>
      </c>
      <c r="AG503" s="7" t="n">
        <v>150</v>
      </c>
      <c r="AH503" s="7" t="n">
        <v>3537</v>
      </c>
      <c r="AI503" s="5" t="s">
        <v>1607</v>
      </c>
    </row>
    <row r="504" customFormat="false" ht="15" hidden="false" customHeight="false" outlineLevel="0" collapsed="false">
      <c r="A504" s="5" t="s">
        <v>428</v>
      </c>
      <c r="B504" s="5" t="s">
        <v>1608</v>
      </c>
      <c r="C504" s="5" t="s">
        <v>1609</v>
      </c>
      <c r="D504" s="5" t="s">
        <v>428</v>
      </c>
      <c r="E504" s="5" t="s">
        <v>60</v>
      </c>
      <c r="F504" s="6" t="n">
        <v>11079.72</v>
      </c>
      <c r="G504" s="7" t="n">
        <v>434</v>
      </c>
      <c r="H504" s="8" t="n">
        <v>-0.684</v>
      </c>
      <c r="I504" s="8" t="n">
        <v>-0.7864</v>
      </c>
      <c r="J504" s="7" t="n">
        <v>111</v>
      </c>
      <c r="K504" s="5" t="n">
        <v>2</v>
      </c>
      <c r="L504" s="5" t="n">
        <v>1</v>
      </c>
      <c r="M504" s="5" t="n">
        <v>4.4</v>
      </c>
      <c r="N504" s="9" t="s">
        <v>54</v>
      </c>
      <c r="O504" s="5"/>
      <c r="P504" s="5" t="s">
        <v>1610</v>
      </c>
      <c r="Q504" s="14" t="s">
        <v>1611</v>
      </c>
      <c r="R504" s="7" t="n">
        <v>452</v>
      </c>
      <c r="S504" s="7" t="n">
        <v>2</v>
      </c>
      <c r="T504" s="5" t="s">
        <v>1612</v>
      </c>
      <c r="U504" s="6" t="n">
        <v>543315.8</v>
      </c>
      <c r="V504" s="7" t="n">
        <v>49061</v>
      </c>
      <c r="W504" s="5" t="n">
        <v>101</v>
      </c>
      <c r="X504" s="7" t="n">
        <v>5291</v>
      </c>
      <c r="Y504" s="7" t="n">
        <v>3553</v>
      </c>
      <c r="Z504" s="7" t="n">
        <v>1275</v>
      </c>
      <c r="AA504" s="10" t="n">
        <v>0.98</v>
      </c>
      <c r="AB504" s="11" t="n">
        <v>142.5</v>
      </c>
      <c r="AC504" s="10" t="n">
        <v>7.36</v>
      </c>
      <c r="AD504" s="12" t="n">
        <v>0.61</v>
      </c>
      <c r="AE504" s="12" t="n">
        <v>0.84</v>
      </c>
      <c r="AF504" s="12" t="n">
        <v>1</v>
      </c>
      <c r="AG504" s="7" t="n">
        <v>145</v>
      </c>
      <c r="AH504" s="7" t="n">
        <v>3502</v>
      </c>
      <c r="AI504" s="5" t="s">
        <v>1613</v>
      </c>
    </row>
    <row r="505" customFormat="false" ht="15" hidden="false" customHeight="false" outlineLevel="0" collapsed="false">
      <c r="A505" s="5" t="s">
        <v>428</v>
      </c>
      <c r="B505" s="5" t="s">
        <v>1614</v>
      </c>
      <c r="C505" s="5" t="s">
        <v>1615</v>
      </c>
      <c r="D505" s="5" t="s">
        <v>210</v>
      </c>
      <c r="E505" s="5" t="s">
        <v>53</v>
      </c>
      <c r="F505" s="6" t="n">
        <v>11075.7</v>
      </c>
      <c r="G505" s="7" t="n">
        <v>1690</v>
      </c>
      <c r="H505" s="8" t="n">
        <v>2.8661</v>
      </c>
      <c r="I505" s="8" t="n">
        <v>2.6501</v>
      </c>
      <c r="J505" s="7" t="n">
        <v>42</v>
      </c>
      <c r="K505" s="5" t="n">
        <v>1</v>
      </c>
      <c r="L505" s="5" t="n">
        <v>60</v>
      </c>
      <c r="M505" s="5" t="n">
        <v>4.3</v>
      </c>
      <c r="N505" s="15" t="s">
        <v>151</v>
      </c>
      <c r="O505" s="5" t="s">
        <v>1616</v>
      </c>
      <c r="P505" s="5"/>
      <c r="Q505" s="5"/>
      <c r="R505" s="7"/>
      <c r="S505" s="7"/>
      <c r="T505" s="5"/>
      <c r="U505" s="6"/>
      <c r="V505" s="7"/>
      <c r="W505" s="5"/>
      <c r="X505" s="7"/>
      <c r="Y505" s="7"/>
      <c r="Z505" s="7"/>
      <c r="AA505" s="10"/>
      <c r="AB505" s="11"/>
      <c r="AC505" s="10"/>
      <c r="AD505" s="12"/>
      <c r="AE505" s="12"/>
      <c r="AF505" s="12"/>
      <c r="AG505" s="7"/>
      <c r="AH505" s="7"/>
      <c r="AI505" s="5" t="s">
        <v>1617</v>
      </c>
    </row>
    <row r="506" customFormat="false" ht="15" hidden="false" customHeight="false" outlineLevel="0" collapsed="false">
      <c r="A506" s="5" t="s">
        <v>428</v>
      </c>
      <c r="B506" s="5" t="s">
        <v>1618</v>
      </c>
      <c r="C506" s="5" t="s">
        <v>1619</v>
      </c>
      <c r="D506" s="5" t="s">
        <v>428</v>
      </c>
      <c r="E506" s="5" t="s">
        <v>53</v>
      </c>
      <c r="F506" s="6" t="n">
        <v>10965.78</v>
      </c>
      <c r="G506" s="7" t="n">
        <v>238</v>
      </c>
      <c r="H506" s="8" t="n">
        <v>-0.2028</v>
      </c>
      <c r="I506" s="8" t="n">
        <v>-0.242</v>
      </c>
      <c r="J506" s="7" t="n">
        <v>188</v>
      </c>
      <c r="K506" s="5" t="n">
        <v>4</v>
      </c>
      <c r="L506" s="5" t="n">
        <v>4</v>
      </c>
      <c r="M506" s="5" t="n">
        <v>4</v>
      </c>
      <c r="N506" s="9" t="s">
        <v>54</v>
      </c>
      <c r="O506" s="5"/>
      <c r="P506" s="5"/>
      <c r="Q506" s="5"/>
      <c r="R506" s="7"/>
      <c r="S506" s="7"/>
      <c r="T506" s="5"/>
      <c r="U506" s="6"/>
      <c r="V506" s="7"/>
      <c r="W506" s="5"/>
      <c r="X506" s="7"/>
      <c r="Y506" s="7"/>
      <c r="Z506" s="7"/>
      <c r="AA506" s="10"/>
      <c r="AB506" s="11"/>
      <c r="AC506" s="10"/>
      <c r="AD506" s="12"/>
      <c r="AE506" s="12"/>
      <c r="AF506" s="12"/>
      <c r="AG506" s="7"/>
      <c r="AH506" s="7"/>
      <c r="AI506" s="5" t="s">
        <v>1620</v>
      </c>
    </row>
    <row r="507" customFormat="false" ht="15" hidden="false" customHeight="false" outlineLevel="0" collapsed="false">
      <c r="A507" s="5" t="s">
        <v>428</v>
      </c>
      <c r="B507" s="5" t="s">
        <v>1621</v>
      </c>
      <c r="C507" s="5"/>
      <c r="D507" s="5" t="s">
        <v>428</v>
      </c>
      <c r="E507" s="5" t="s">
        <v>60</v>
      </c>
      <c r="F507" s="6" t="n">
        <v>10760.43</v>
      </c>
      <c r="G507" s="7" t="n">
        <v>592</v>
      </c>
      <c r="H507" s="8" t="n">
        <v>67.0023</v>
      </c>
      <c r="I507" s="8" t="n">
        <v>83.5714</v>
      </c>
      <c r="J507" s="7" t="n">
        <v>40</v>
      </c>
      <c r="K507" s="5" t="n">
        <v>22</v>
      </c>
      <c r="L507" s="5" t="n">
        <v>26</v>
      </c>
      <c r="M507" s="5" t="n">
        <v>4.5</v>
      </c>
      <c r="N507" s="9" t="s">
        <v>54</v>
      </c>
      <c r="O507" s="5" t="s">
        <v>258</v>
      </c>
      <c r="P507" s="5"/>
      <c r="Q507" s="5"/>
      <c r="R507" s="7"/>
      <c r="S507" s="7"/>
      <c r="T507" s="5" t="s">
        <v>1622</v>
      </c>
      <c r="U507" s="6" t="n">
        <v>11520.43</v>
      </c>
      <c r="V507" s="7" t="n">
        <v>804</v>
      </c>
      <c r="W507" s="5" t="n">
        <v>37</v>
      </c>
      <c r="X507" s="7" t="n">
        <v>35</v>
      </c>
      <c r="Y507" s="7" t="n">
        <v>74</v>
      </c>
      <c r="Z507" s="7" t="n">
        <v>8</v>
      </c>
      <c r="AA507" s="10" t="n">
        <v>6.6</v>
      </c>
      <c r="AB507" s="11" t="n">
        <v>89.9</v>
      </c>
      <c r="AC507" s="10"/>
      <c r="AD507" s="12"/>
      <c r="AE507" s="12"/>
      <c r="AF507" s="12"/>
      <c r="AG507" s="7" t="n">
        <v>160</v>
      </c>
      <c r="AH507" s="7" t="n">
        <v>3694</v>
      </c>
      <c r="AI507" s="5" t="s">
        <v>1623</v>
      </c>
    </row>
    <row r="508" customFormat="false" ht="15" hidden="false" customHeight="false" outlineLevel="0" collapsed="false">
      <c r="A508" s="5" t="s">
        <v>428</v>
      </c>
      <c r="B508" s="5" t="s">
        <v>1624</v>
      </c>
      <c r="C508" s="5"/>
      <c r="D508" s="5" t="s">
        <v>428</v>
      </c>
      <c r="E508" s="5" t="s">
        <v>53</v>
      </c>
      <c r="F508" s="6" t="n">
        <v>10662.78</v>
      </c>
      <c r="G508" s="7" t="n">
        <v>886</v>
      </c>
      <c r="H508" s="8" t="n">
        <v>-0.5034</v>
      </c>
      <c r="I508" s="8" t="n">
        <v>-0.4767</v>
      </c>
      <c r="J508" s="7" t="n">
        <v>63</v>
      </c>
      <c r="K508" s="5" t="n">
        <v>19</v>
      </c>
      <c r="L508" s="5" t="n">
        <v>267</v>
      </c>
      <c r="M508" s="5" t="n">
        <v>3.8</v>
      </c>
      <c r="N508" s="9" t="s">
        <v>54</v>
      </c>
      <c r="O508" s="5"/>
      <c r="P508" s="5"/>
      <c r="Q508" s="5"/>
      <c r="R508" s="7"/>
      <c r="S508" s="7"/>
      <c r="T508" s="5"/>
      <c r="U508" s="6"/>
      <c r="V508" s="7"/>
      <c r="W508" s="5"/>
      <c r="X508" s="7"/>
      <c r="Y508" s="7"/>
      <c r="Z508" s="7"/>
      <c r="AA508" s="10"/>
      <c r="AB508" s="11"/>
      <c r="AC508" s="10"/>
      <c r="AD508" s="12"/>
      <c r="AE508" s="12"/>
      <c r="AF508" s="12"/>
      <c r="AG508" s="7"/>
      <c r="AH508" s="7"/>
      <c r="AI508" s="5" t="s">
        <v>1625</v>
      </c>
    </row>
    <row r="509" customFormat="false" ht="15" hidden="false" customHeight="false" outlineLevel="0" collapsed="false">
      <c r="A509" s="5" t="s">
        <v>428</v>
      </c>
      <c r="B509" s="5" t="s">
        <v>1626</v>
      </c>
      <c r="C509" s="5"/>
      <c r="D509" s="5" t="s">
        <v>446</v>
      </c>
      <c r="E509" s="5" t="s">
        <v>60</v>
      </c>
      <c r="F509" s="6" t="n">
        <v>10655.05</v>
      </c>
      <c r="G509" s="7" t="n">
        <v>65</v>
      </c>
      <c r="H509" s="8" t="n">
        <v>-0.521</v>
      </c>
      <c r="I509" s="8" t="n">
        <v>-0.5938</v>
      </c>
      <c r="J509" s="7" t="n">
        <v>128</v>
      </c>
      <c r="K509" s="5" t="n">
        <v>3</v>
      </c>
      <c r="L509" s="5" t="n">
        <v>32</v>
      </c>
      <c r="M509" s="5" t="n">
        <v>4.4</v>
      </c>
      <c r="N509" s="13" t="s">
        <v>61</v>
      </c>
      <c r="O509" s="5"/>
      <c r="P509" s="5"/>
      <c r="Q509" s="5"/>
      <c r="R509" s="7"/>
      <c r="S509" s="7"/>
      <c r="T509" s="5"/>
      <c r="U509" s="6"/>
      <c r="V509" s="7"/>
      <c r="W509" s="5"/>
      <c r="X509" s="7"/>
      <c r="Y509" s="7"/>
      <c r="Z509" s="7"/>
      <c r="AA509" s="10"/>
      <c r="AB509" s="11"/>
      <c r="AC509" s="10"/>
      <c r="AD509" s="12"/>
      <c r="AE509" s="12"/>
      <c r="AF509" s="12"/>
      <c r="AG509" s="7"/>
      <c r="AH509" s="7"/>
      <c r="AI509" s="5" t="s">
        <v>1627</v>
      </c>
    </row>
    <row r="510" customFormat="false" ht="15" hidden="false" customHeight="false" outlineLevel="0" collapsed="false">
      <c r="A510" s="5" t="s">
        <v>428</v>
      </c>
      <c r="B510" s="5" t="s">
        <v>1628</v>
      </c>
      <c r="C510" s="5"/>
      <c r="D510" s="5" t="s">
        <v>428</v>
      </c>
      <c r="E510" s="5" t="s">
        <v>53</v>
      </c>
      <c r="F510" s="6" t="n">
        <v>10649.55</v>
      </c>
      <c r="G510" s="7" t="n">
        <v>1401</v>
      </c>
      <c r="H510" s="8" t="n">
        <v>0.4905</v>
      </c>
      <c r="I510" s="8" t="n">
        <v>-0.0216</v>
      </c>
      <c r="J510" s="7" t="n">
        <v>93</v>
      </c>
      <c r="K510" s="5" t="n">
        <v>8</v>
      </c>
      <c r="L510" s="5" t="n">
        <v>150</v>
      </c>
      <c r="M510" s="5" t="n">
        <v>3.9</v>
      </c>
      <c r="N510" s="9" t="s">
        <v>54</v>
      </c>
      <c r="O510" s="5"/>
      <c r="P510" s="5"/>
      <c r="Q510" s="5"/>
      <c r="R510" s="7"/>
      <c r="S510" s="7"/>
      <c r="T510" s="5"/>
      <c r="U510" s="6"/>
      <c r="V510" s="7"/>
      <c r="W510" s="5"/>
      <c r="X510" s="7"/>
      <c r="Y510" s="7"/>
      <c r="Z510" s="7"/>
      <c r="AA510" s="10"/>
      <c r="AB510" s="11"/>
      <c r="AC510" s="10"/>
      <c r="AD510" s="12"/>
      <c r="AE510" s="12"/>
      <c r="AF510" s="12"/>
      <c r="AG510" s="7"/>
      <c r="AH510" s="7"/>
      <c r="AI510" s="5" t="s">
        <v>1629</v>
      </c>
    </row>
    <row r="511" customFormat="false" ht="15" hidden="false" customHeight="false" outlineLevel="0" collapsed="false">
      <c r="A511" s="5" t="s">
        <v>428</v>
      </c>
      <c r="B511" s="5" t="s">
        <v>1630</v>
      </c>
      <c r="C511" s="5"/>
      <c r="D511" s="5" t="s">
        <v>428</v>
      </c>
      <c r="E511" s="5" t="s">
        <v>60</v>
      </c>
      <c r="F511" s="6" t="n">
        <v>10570.39</v>
      </c>
      <c r="G511" s="7" t="n">
        <v>714</v>
      </c>
      <c r="H511" s="8" t="n">
        <v>2.252</v>
      </c>
      <c r="I511" s="8" t="n">
        <v>0.6081</v>
      </c>
      <c r="J511" s="7" t="n">
        <v>27</v>
      </c>
      <c r="K511" s="5" t="n">
        <v>10</v>
      </c>
      <c r="L511" s="5" t="n">
        <v>115</v>
      </c>
      <c r="M511" s="5" t="n">
        <v>4.6</v>
      </c>
      <c r="N511" s="9" t="s">
        <v>54</v>
      </c>
      <c r="O511" s="5" t="s">
        <v>258</v>
      </c>
      <c r="P511" s="5"/>
      <c r="Q511" s="5"/>
      <c r="R511" s="7"/>
      <c r="S511" s="7"/>
      <c r="T511" s="5" t="s">
        <v>1631</v>
      </c>
      <c r="U511" s="6" t="n">
        <v>141223.82</v>
      </c>
      <c r="V511" s="7" t="n">
        <v>21032</v>
      </c>
      <c r="W511" s="5" t="n">
        <v>414</v>
      </c>
      <c r="X511" s="7" t="n">
        <v>134</v>
      </c>
      <c r="Y511" s="7" t="n">
        <v>189</v>
      </c>
      <c r="Z511" s="7" t="n">
        <v>50</v>
      </c>
      <c r="AA511" s="10" t="n">
        <v>2.28</v>
      </c>
      <c r="AB511" s="11" t="n">
        <v>77.23</v>
      </c>
      <c r="AC511" s="10" t="n">
        <v>5.27</v>
      </c>
      <c r="AD511" s="12" t="n">
        <v>0.89</v>
      </c>
      <c r="AE511" s="12" t="n">
        <v>0.79</v>
      </c>
      <c r="AF511" s="12" t="n">
        <v>1</v>
      </c>
      <c r="AG511" s="7" t="n">
        <v>101</v>
      </c>
      <c r="AH511" s="7" t="n">
        <v>2713</v>
      </c>
      <c r="AI511" s="5" t="s">
        <v>1632</v>
      </c>
    </row>
    <row r="512" customFormat="false" ht="15" hidden="false" customHeight="false" outlineLevel="0" collapsed="false">
      <c r="A512" s="5" t="s">
        <v>428</v>
      </c>
      <c r="B512" s="5" t="s">
        <v>1633</v>
      </c>
      <c r="C512" s="5"/>
      <c r="D512" s="5" t="s">
        <v>428</v>
      </c>
      <c r="E512" s="5" t="s">
        <v>53</v>
      </c>
      <c r="F512" s="6" t="n">
        <v>10385.27</v>
      </c>
      <c r="G512" s="7" t="n">
        <v>239</v>
      </c>
      <c r="H512" s="8" t="n">
        <v>2.0534</v>
      </c>
      <c r="I512" s="8" t="n">
        <v>1.8452</v>
      </c>
      <c r="J512" s="7" t="n">
        <v>11</v>
      </c>
      <c r="K512" s="5" t="n">
        <v>9</v>
      </c>
      <c r="L512" s="5" t="n">
        <v>37</v>
      </c>
      <c r="M512" s="5" t="n">
        <v>3.3</v>
      </c>
      <c r="N512" s="9" t="s">
        <v>54</v>
      </c>
      <c r="O512" s="5"/>
      <c r="P512" s="5"/>
      <c r="Q512" s="5"/>
      <c r="R512" s="7"/>
      <c r="S512" s="7"/>
      <c r="T512" s="5"/>
      <c r="U512" s="6"/>
      <c r="V512" s="7"/>
      <c r="W512" s="5"/>
      <c r="X512" s="7"/>
      <c r="Y512" s="7"/>
      <c r="Z512" s="7"/>
      <c r="AA512" s="10"/>
      <c r="AB512" s="11"/>
      <c r="AC512" s="10"/>
      <c r="AD512" s="12"/>
      <c r="AE512" s="12"/>
      <c r="AF512" s="12"/>
      <c r="AG512" s="7"/>
      <c r="AH512" s="7"/>
      <c r="AI512" s="5" t="s">
        <v>1634</v>
      </c>
    </row>
    <row r="513" customFormat="false" ht="15" hidden="false" customHeight="false" outlineLevel="0" collapsed="false">
      <c r="A513" s="5" t="s">
        <v>428</v>
      </c>
      <c r="B513" s="5" t="s">
        <v>1635</v>
      </c>
      <c r="C513" s="5"/>
      <c r="D513" s="5" t="s">
        <v>428</v>
      </c>
      <c r="E513" s="5" t="s">
        <v>53</v>
      </c>
      <c r="F513" s="6" t="n">
        <v>10205.06</v>
      </c>
      <c r="G513" s="7" t="n">
        <v>980</v>
      </c>
      <c r="H513" s="8" t="n">
        <v>0.7128</v>
      </c>
      <c r="I513" s="8" t="n">
        <v>0.5147</v>
      </c>
      <c r="J513" s="7" t="n">
        <v>26</v>
      </c>
      <c r="K513" s="5" t="n">
        <v>14</v>
      </c>
      <c r="L513" s="5" t="n">
        <v>1178</v>
      </c>
      <c r="M513" s="5" t="n">
        <v>4.2</v>
      </c>
      <c r="N513" s="9" t="s">
        <v>54</v>
      </c>
      <c r="O513" s="5"/>
      <c r="P513" s="5"/>
      <c r="Q513" s="5"/>
      <c r="R513" s="7"/>
      <c r="S513" s="7"/>
      <c r="T513" s="5"/>
      <c r="U513" s="6"/>
      <c r="V513" s="7"/>
      <c r="W513" s="5"/>
      <c r="X513" s="7"/>
      <c r="Y513" s="7"/>
      <c r="Z513" s="7"/>
      <c r="AA513" s="10"/>
      <c r="AB513" s="11"/>
      <c r="AC513" s="10"/>
      <c r="AD513" s="12"/>
      <c r="AE513" s="12"/>
      <c r="AF513" s="12"/>
      <c r="AG513" s="7"/>
      <c r="AH513" s="7"/>
      <c r="AI513" s="5" t="s">
        <v>1636</v>
      </c>
    </row>
    <row r="514" customFormat="false" ht="15" hidden="false" customHeight="false" outlineLevel="0" collapsed="false">
      <c r="A514" s="5" t="s">
        <v>428</v>
      </c>
      <c r="B514" s="5" t="s">
        <v>1637</v>
      </c>
      <c r="C514" s="5" t="s">
        <v>1638</v>
      </c>
      <c r="D514" s="5" t="s">
        <v>428</v>
      </c>
      <c r="E514" s="5" t="s">
        <v>53</v>
      </c>
      <c r="F514" s="6" t="n">
        <v>10176.46</v>
      </c>
      <c r="G514" s="7" t="n">
        <v>184</v>
      </c>
      <c r="H514" s="8" t="n">
        <v>-0.4107</v>
      </c>
      <c r="I514" s="8" t="n">
        <v>-0.4889</v>
      </c>
      <c r="J514" s="7" t="n">
        <v>87</v>
      </c>
      <c r="K514" s="5" t="n">
        <v>6</v>
      </c>
      <c r="L514" s="5" t="n">
        <v>3</v>
      </c>
      <c r="M514" s="5" t="n">
        <v>4.4</v>
      </c>
      <c r="N514" s="9" t="s">
        <v>54</v>
      </c>
      <c r="O514" s="5"/>
      <c r="P514" s="5"/>
      <c r="Q514" s="5"/>
      <c r="R514" s="7"/>
      <c r="S514" s="7"/>
      <c r="T514" s="5"/>
      <c r="U514" s="6"/>
      <c r="V514" s="7"/>
      <c r="W514" s="5"/>
      <c r="X514" s="7"/>
      <c r="Y514" s="7"/>
      <c r="Z514" s="7"/>
      <c r="AA514" s="10"/>
      <c r="AB514" s="11"/>
      <c r="AC514" s="10"/>
      <c r="AD514" s="12"/>
      <c r="AE514" s="12"/>
      <c r="AF514" s="12"/>
      <c r="AG514" s="7"/>
      <c r="AH514" s="7"/>
      <c r="AI514" s="5" t="s">
        <v>1639</v>
      </c>
    </row>
    <row r="515" customFormat="false" ht="15" hidden="false" customHeight="false" outlineLevel="0" collapsed="false">
      <c r="A515" s="5" t="s">
        <v>140</v>
      </c>
      <c r="B515" s="5" t="s">
        <v>1640</v>
      </c>
      <c r="C515" s="5"/>
      <c r="D515" s="5" t="s">
        <v>140</v>
      </c>
      <c r="E515" s="5" t="s">
        <v>60</v>
      </c>
      <c r="F515" s="6" t="n">
        <v>21677.8</v>
      </c>
      <c r="G515" s="7" t="n">
        <v>439</v>
      </c>
      <c r="H515" s="8" t="n">
        <v>-0.3152</v>
      </c>
      <c r="I515" s="8" t="n">
        <v>-0.3428</v>
      </c>
      <c r="J515" s="7" t="n">
        <v>46</v>
      </c>
      <c r="K515" s="5" t="n">
        <v>3</v>
      </c>
      <c r="L515" s="5" t="n">
        <v>17</v>
      </c>
      <c r="M515" s="5" t="n">
        <v>4.7</v>
      </c>
      <c r="N515" s="9" t="s">
        <v>54</v>
      </c>
      <c r="O515" s="5"/>
      <c r="P515" s="5"/>
      <c r="Q515" s="5"/>
      <c r="R515" s="7"/>
      <c r="S515" s="7"/>
      <c r="T515" s="5"/>
      <c r="U515" s="6"/>
      <c r="V515" s="7"/>
      <c r="W515" s="5"/>
      <c r="X515" s="7"/>
      <c r="Y515" s="7"/>
      <c r="Z515" s="7"/>
      <c r="AA515" s="10"/>
      <c r="AB515" s="11"/>
      <c r="AC515" s="10"/>
      <c r="AD515" s="12"/>
      <c r="AE515" s="12"/>
      <c r="AF515" s="12"/>
      <c r="AG515" s="7"/>
      <c r="AH515" s="7"/>
      <c r="AI515" s="5" t="s">
        <v>1641</v>
      </c>
    </row>
    <row r="516" customFormat="false" ht="15" hidden="false" customHeight="false" outlineLevel="0" collapsed="false">
      <c r="A516" s="5" t="s">
        <v>140</v>
      </c>
      <c r="B516" s="5" t="s">
        <v>1642</v>
      </c>
      <c r="C516" s="5" t="s">
        <v>1643</v>
      </c>
      <c r="D516" s="5" t="s">
        <v>140</v>
      </c>
      <c r="E516" s="5" t="s">
        <v>60</v>
      </c>
      <c r="F516" s="6" t="n">
        <v>21661.92</v>
      </c>
      <c r="G516" s="7" t="n">
        <v>626</v>
      </c>
      <c r="H516" s="8" t="n">
        <v>0.1237</v>
      </c>
      <c r="I516" s="8" t="n">
        <v>0.0381</v>
      </c>
      <c r="J516" s="7" t="n">
        <v>363</v>
      </c>
      <c r="K516" s="5" t="n">
        <v>61</v>
      </c>
      <c r="L516" s="5" t="n">
        <v>218</v>
      </c>
      <c r="M516" s="5" t="n">
        <v>4.2</v>
      </c>
      <c r="N516" s="9" t="s">
        <v>54</v>
      </c>
      <c r="O516" s="5"/>
      <c r="P516" s="5"/>
      <c r="Q516" s="5"/>
      <c r="R516" s="7"/>
      <c r="S516" s="7"/>
      <c r="T516" s="5"/>
      <c r="U516" s="6"/>
      <c r="V516" s="7"/>
      <c r="W516" s="5"/>
      <c r="X516" s="7"/>
      <c r="Y516" s="7"/>
      <c r="Z516" s="7"/>
      <c r="AA516" s="10"/>
      <c r="AB516" s="11"/>
      <c r="AC516" s="10"/>
      <c r="AD516" s="12"/>
      <c r="AE516" s="12"/>
      <c r="AF516" s="12"/>
      <c r="AG516" s="7"/>
      <c r="AH516" s="7"/>
      <c r="AI516" s="5" t="s">
        <v>1644</v>
      </c>
    </row>
    <row r="517" customFormat="false" ht="15" hidden="false" customHeight="false" outlineLevel="0" collapsed="false">
      <c r="A517" s="5" t="s">
        <v>140</v>
      </c>
      <c r="B517" s="5" t="s">
        <v>1645</v>
      </c>
      <c r="C517" s="5"/>
      <c r="D517" s="5" t="s">
        <v>140</v>
      </c>
      <c r="E517" s="5" t="s">
        <v>60</v>
      </c>
      <c r="F517" s="6" t="n">
        <v>21637.14</v>
      </c>
      <c r="G517" s="7" t="n">
        <v>364</v>
      </c>
      <c r="H517" s="8" t="n">
        <v>0.1892</v>
      </c>
      <c r="I517" s="8" t="n">
        <v>-0.308</v>
      </c>
      <c r="J517" s="7" t="n">
        <v>117</v>
      </c>
      <c r="K517" s="5" t="n">
        <v>11</v>
      </c>
      <c r="L517" s="5" t="n">
        <v>816</v>
      </c>
      <c r="M517" s="5" t="n">
        <v>3.6</v>
      </c>
      <c r="N517" s="9" t="s">
        <v>54</v>
      </c>
      <c r="O517" s="5"/>
      <c r="P517" s="5"/>
      <c r="Q517" s="5"/>
      <c r="R517" s="7"/>
      <c r="S517" s="7"/>
      <c r="T517" s="5"/>
      <c r="U517" s="6"/>
      <c r="V517" s="7"/>
      <c r="W517" s="5"/>
      <c r="X517" s="7"/>
      <c r="Y517" s="7"/>
      <c r="Z517" s="7"/>
      <c r="AA517" s="10"/>
      <c r="AB517" s="11"/>
      <c r="AC517" s="10"/>
      <c r="AD517" s="12"/>
      <c r="AE517" s="12"/>
      <c r="AF517" s="12"/>
      <c r="AG517" s="7"/>
      <c r="AH517" s="7"/>
      <c r="AI517" s="5" t="s">
        <v>1646</v>
      </c>
    </row>
    <row r="518" customFormat="false" ht="15" hidden="false" customHeight="false" outlineLevel="0" collapsed="false">
      <c r="A518" s="5" t="s">
        <v>140</v>
      </c>
      <c r="B518" s="5" t="s">
        <v>1647</v>
      </c>
      <c r="C518" s="5"/>
      <c r="D518" s="5" t="s">
        <v>140</v>
      </c>
      <c r="E518" s="5" t="s">
        <v>53</v>
      </c>
      <c r="F518" s="6" t="n">
        <v>21290.75</v>
      </c>
      <c r="G518" s="7" t="n">
        <v>603</v>
      </c>
      <c r="H518" s="8" t="n">
        <v>0.5536</v>
      </c>
      <c r="I518" s="8" t="n">
        <v>0.2996</v>
      </c>
      <c r="J518" s="7" t="n">
        <v>249</v>
      </c>
      <c r="K518" s="5" t="n">
        <v>20</v>
      </c>
      <c r="L518" s="5" t="n">
        <v>150</v>
      </c>
      <c r="M518" s="5" t="n">
        <v>4.5</v>
      </c>
      <c r="N518" s="9" t="s">
        <v>54</v>
      </c>
      <c r="O518" s="5"/>
      <c r="P518" s="5"/>
      <c r="Q518" s="5"/>
      <c r="R518" s="7"/>
      <c r="S518" s="7"/>
      <c r="T518" s="5"/>
      <c r="U518" s="6"/>
      <c r="V518" s="7"/>
      <c r="W518" s="5"/>
      <c r="X518" s="7"/>
      <c r="Y518" s="7"/>
      <c r="Z518" s="7"/>
      <c r="AA518" s="10"/>
      <c r="AB518" s="11"/>
      <c r="AC518" s="10"/>
      <c r="AD518" s="12"/>
      <c r="AE518" s="12"/>
      <c r="AF518" s="12"/>
      <c r="AG518" s="7"/>
      <c r="AH518" s="7"/>
      <c r="AI518" s="5" t="s">
        <v>1648</v>
      </c>
    </row>
    <row r="519" customFormat="false" ht="15" hidden="false" customHeight="false" outlineLevel="0" collapsed="false">
      <c r="A519" s="5" t="s">
        <v>140</v>
      </c>
      <c r="B519" s="5" t="s">
        <v>1649</v>
      </c>
      <c r="C519" s="5" t="s">
        <v>1650</v>
      </c>
      <c r="D519" s="5" t="s">
        <v>140</v>
      </c>
      <c r="E519" s="5" t="s">
        <v>53</v>
      </c>
      <c r="F519" s="6" t="n">
        <v>21037.96</v>
      </c>
      <c r="G519" s="7" t="n">
        <v>1611</v>
      </c>
      <c r="H519" s="8" t="n">
        <v>-0.2081</v>
      </c>
      <c r="I519" s="8" t="n">
        <v>-0.3282</v>
      </c>
      <c r="J519" s="7" t="n">
        <v>268</v>
      </c>
      <c r="K519" s="5" t="n">
        <v>43</v>
      </c>
      <c r="L519" s="5" t="n">
        <v>131</v>
      </c>
      <c r="M519" s="5" t="n">
        <v>4.4</v>
      </c>
      <c r="N519" s="9" t="s">
        <v>54</v>
      </c>
      <c r="O519" s="5"/>
      <c r="P519" s="5"/>
      <c r="Q519" s="5"/>
      <c r="R519" s="7"/>
      <c r="S519" s="7"/>
      <c r="T519" s="5"/>
      <c r="U519" s="6"/>
      <c r="V519" s="7"/>
      <c r="W519" s="5"/>
      <c r="X519" s="7"/>
      <c r="Y519" s="7"/>
      <c r="Z519" s="7"/>
      <c r="AA519" s="10"/>
      <c r="AB519" s="11"/>
      <c r="AC519" s="10"/>
      <c r="AD519" s="12"/>
      <c r="AE519" s="12"/>
      <c r="AF519" s="12"/>
      <c r="AG519" s="7"/>
      <c r="AH519" s="7"/>
      <c r="AI519" s="5" t="s">
        <v>1651</v>
      </c>
    </row>
    <row r="520" customFormat="false" ht="15" hidden="false" customHeight="false" outlineLevel="0" collapsed="false">
      <c r="A520" s="5" t="s">
        <v>140</v>
      </c>
      <c r="B520" s="5" t="s">
        <v>1652</v>
      </c>
      <c r="C520" s="5" t="s">
        <v>1653</v>
      </c>
      <c r="D520" s="5" t="s">
        <v>140</v>
      </c>
      <c r="E520" s="5" t="s">
        <v>53</v>
      </c>
      <c r="F520" s="6" t="n">
        <v>20277.74</v>
      </c>
      <c r="G520" s="7" t="n">
        <v>1263</v>
      </c>
      <c r="H520" s="8" t="n">
        <v>0.6028</v>
      </c>
      <c r="I520" s="8" t="n">
        <v>0.3088</v>
      </c>
      <c r="J520" s="7" t="n">
        <v>222</v>
      </c>
      <c r="K520" s="5" t="n">
        <v>38</v>
      </c>
      <c r="L520" s="5" t="n">
        <v>715</v>
      </c>
      <c r="M520" s="5" t="n">
        <v>4.7</v>
      </c>
      <c r="N520" s="9" t="s">
        <v>54</v>
      </c>
      <c r="O520" s="5"/>
      <c r="P520" s="5"/>
      <c r="Q520" s="5"/>
      <c r="R520" s="7"/>
      <c r="S520" s="7"/>
      <c r="T520" s="5"/>
      <c r="U520" s="6"/>
      <c r="V520" s="7"/>
      <c r="W520" s="5"/>
      <c r="X520" s="7"/>
      <c r="Y520" s="7"/>
      <c r="Z520" s="7"/>
      <c r="AA520" s="10"/>
      <c r="AB520" s="11"/>
      <c r="AC520" s="10"/>
      <c r="AD520" s="12"/>
      <c r="AE520" s="12"/>
      <c r="AF520" s="12"/>
      <c r="AG520" s="7"/>
      <c r="AH520" s="7"/>
      <c r="AI520" s="5" t="s">
        <v>1654</v>
      </c>
    </row>
    <row r="521" customFormat="false" ht="15" hidden="false" customHeight="false" outlineLevel="0" collapsed="false">
      <c r="A521" s="5" t="s">
        <v>140</v>
      </c>
      <c r="B521" s="5" t="s">
        <v>1655</v>
      </c>
      <c r="C521" s="5" t="s">
        <v>1656</v>
      </c>
      <c r="D521" s="5" t="s">
        <v>140</v>
      </c>
      <c r="E521" s="5" t="s">
        <v>53</v>
      </c>
      <c r="F521" s="6" t="n">
        <v>19794.67</v>
      </c>
      <c r="G521" s="7" t="n">
        <v>846</v>
      </c>
      <c r="H521" s="8" t="n">
        <v>1.5776</v>
      </c>
      <c r="I521" s="8" t="n">
        <v>1.2381</v>
      </c>
      <c r="J521" s="7" t="n">
        <v>217</v>
      </c>
      <c r="K521" s="5" t="n">
        <v>10</v>
      </c>
      <c r="L521" s="5" t="n">
        <v>99</v>
      </c>
      <c r="M521" s="5" t="n">
        <v>4.2</v>
      </c>
      <c r="N521" s="9" t="s">
        <v>54</v>
      </c>
      <c r="O521" s="5"/>
      <c r="P521" s="5"/>
      <c r="Q521" s="5"/>
      <c r="R521" s="7"/>
      <c r="S521" s="7"/>
      <c r="T521" s="5"/>
      <c r="U521" s="6"/>
      <c r="V521" s="7"/>
      <c r="W521" s="5"/>
      <c r="X521" s="7"/>
      <c r="Y521" s="7"/>
      <c r="Z521" s="7"/>
      <c r="AA521" s="10"/>
      <c r="AB521" s="11"/>
      <c r="AC521" s="10"/>
      <c r="AD521" s="12"/>
      <c r="AE521" s="12"/>
      <c r="AF521" s="12"/>
      <c r="AG521" s="7"/>
      <c r="AH521" s="7"/>
      <c r="AI521" s="5" t="s">
        <v>1657</v>
      </c>
    </row>
    <row r="522" customFormat="false" ht="15" hidden="false" customHeight="false" outlineLevel="0" collapsed="false">
      <c r="A522" s="5" t="s">
        <v>140</v>
      </c>
      <c r="B522" s="5" t="s">
        <v>1658</v>
      </c>
      <c r="C522" s="5"/>
      <c r="D522" s="5" t="s">
        <v>140</v>
      </c>
      <c r="E522" s="5" t="s">
        <v>53</v>
      </c>
      <c r="F522" s="6" t="n">
        <v>19765.24</v>
      </c>
      <c r="G522" s="7" t="n">
        <v>778</v>
      </c>
      <c r="H522" s="8" t="n">
        <v>2.3633</v>
      </c>
      <c r="I522" s="8" t="n">
        <v>1.7014</v>
      </c>
      <c r="J522" s="7" t="n">
        <v>184</v>
      </c>
      <c r="K522" s="5" t="n">
        <v>16</v>
      </c>
      <c r="L522" s="5" t="n">
        <v>268</v>
      </c>
      <c r="M522" s="5" t="n">
        <v>3.2</v>
      </c>
      <c r="N522" s="9" t="s">
        <v>54</v>
      </c>
      <c r="O522" s="5"/>
      <c r="P522" s="5"/>
      <c r="Q522" s="5"/>
      <c r="R522" s="7"/>
      <c r="S522" s="7"/>
      <c r="T522" s="5"/>
      <c r="U522" s="6"/>
      <c r="V522" s="7"/>
      <c r="W522" s="5"/>
      <c r="X522" s="7"/>
      <c r="Y522" s="7"/>
      <c r="Z522" s="7"/>
      <c r="AA522" s="10"/>
      <c r="AB522" s="11"/>
      <c r="AC522" s="10"/>
      <c r="AD522" s="12"/>
      <c r="AE522" s="12"/>
      <c r="AF522" s="12"/>
      <c r="AG522" s="7"/>
      <c r="AH522" s="7"/>
      <c r="AI522" s="5" t="s">
        <v>1659</v>
      </c>
    </row>
    <row r="523" customFormat="false" ht="15" hidden="false" customHeight="false" outlineLevel="0" collapsed="false">
      <c r="A523" s="5" t="s">
        <v>140</v>
      </c>
      <c r="B523" s="5" t="s">
        <v>1660</v>
      </c>
      <c r="C523" s="5"/>
      <c r="D523" s="5" t="s">
        <v>140</v>
      </c>
      <c r="E523" s="5" t="s">
        <v>60</v>
      </c>
      <c r="F523" s="6" t="n">
        <v>19322.11</v>
      </c>
      <c r="G523" s="7" t="n">
        <v>852</v>
      </c>
      <c r="H523" s="8" t="n">
        <v>0</v>
      </c>
      <c r="I523" s="8" t="n">
        <v>0</v>
      </c>
      <c r="J523" s="7" t="n">
        <v>181</v>
      </c>
      <c r="K523" s="5" t="n">
        <v>17</v>
      </c>
      <c r="L523" s="5" t="n">
        <v>199</v>
      </c>
      <c r="M523" s="5" t="n">
        <v>4.7</v>
      </c>
      <c r="N523" s="9" t="s">
        <v>54</v>
      </c>
      <c r="O523" s="5"/>
      <c r="P523" s="5"/>
      <c r="Q523" s="5"/>
      <c r="R523" s="7"/>
      <c r="S523" s="7"/>
      <c r="T523" s="5"/>
      <c r="U523" s="6"/>
      <c r="V523" s="7"/>
      <c r="W523" s="5"/>
      <c r="X523" s="7"/>
      <c r="Y523" s="7"/>
      <c r="Z523" s="7"/>
      <c r="AA523" s="10"/>
      <c r="AB523" s="11"/>
      <c r="AC523" s="10"/>
      <c r="AD523" s="12"/>
      <c r="AE523" s="12"/>
      <c r="AF523" s="12"/>
      <c r="AG523" s="7"/>
      <c r="AH523" s="7"/>
      <c r="AI523" s="5" t="s">
        <v>1661</v>
      </c>
    </row>
    <row r="524" customFormat="false" ht="15" hidden="false" customHeight="false" outlineLevel="0" collapsed="false">
      <c r="A524" s="5" t="s">
        <v>140</v>
      </c>
      <c r="B524" s="5" t="s">
        <v>1662</v>
      </c>
      <c r="C524" s="5"/>
      <c r="D524" s="5" t="s">
        <v>140</v>
      </c>
      <c r="E524" s="5" t="s">
        <v>53</v>
      </c>
      <c r="F524" s="6" t="n">
        <v>18866.44</v>
      </c>
      <c r="G524" s="7" t="n">
        <v>2571</v>
      </c>
      <c r="H524" s="8" t="n">
        <v>-0.5687</v>
      </c>
      <c r="I524" s="8" t="n">
        <v>-0.598</v>
      </c>
      <c r="J524" s="7" t="n">
        <v>133</v>
      </c>
      <c r="K524" s="5" t="n">
        <v>10</v>
      </c>
      <c r="L524" s="5" t="n">
        <v>13</v>
      </c>
      <c r="M524" s="5" t="n">
        <v>4.7</v>
      </c>
      <c r="N524" s="9" t="s">
        <v>54</v>
      </c>
      <c r="O524" s="5"/>
      <c r="P524" s="5"/>
      <c r="Q524" s="5"/>
      <c r="R524" s="7"/>
      <c r="S524" s="7"/>
      <c r="T524" s="5"/>
      <c r="U524" s="6"/>
      <c r="V524" s="7"/>
      <c r="W524" s="5"/>
      <c r="X524" s="7"/>
      <c r="Y524" s="7"/>
      <c r="Z524" s="7"/>
      <c r="AA524" s="10"/>
      <c r="AB524" s="11"/>
      <c r="AC524" s="10"/>
      <c r="AD524" s="12"/>
      <c r="AE524" s="12"/>
      <c r="AF524" s="12"/>
      <c r="AG524" s="7"/>
      <c r="AH524" s="7"/>
      <c r="AI524" s="5" t="s">
        <v>1663</v>
      </c>
    </row>
    <row r="525" customFormat="false" ht="15" hidden="false" customHeight="false" outlineLevel="0" collapsed="false">
      <c r="A525" s="5" t="s">
        <v>140</v>
      </c>
      <c r="B525" s="5" t="s">
        <v>1664</v>
      </c>
      <c r="C525" s="5" t="s">
        <v>1665</v>
      </c>
      <c r="D525" s="5" t="s">
        <v>140</v>
      </c>
      <c r="E525" s="5" t="s">
        <v>60</v>
      </c>
      <c r="F525" s="6" t="n">
        <v>18409.66</v>
      </c>
      <c r="G525" s="7" t="n">
        <v>227</v>
      </c>
      <c r="H525" s="8" t="n">
        <v>-0.0281</v>
      </c>
      <c r="I525" s="8" t="n">
        <v>-0.3382</v>
      </c>
      <c r="J525" s="7" t="n">
        <v>364</v>
      </c>
      <c r="K525" s="5" t="n">
        <v>12</v>
      </c>
      <c r="L525" s="5" t="n">
        <v>24</v>
      </c>
      <c r="M525" s="5" t="n">
        <v>3.7</v>
      </c>
      <c r="N525" s="9" t="s">
        <v>54</v>
      </c>
      <c r="O525" s="5"/>
      <c r="P525" s="5" t="s">
        <v>1666</v>
      </c>
      <c r="Q525" s="14" t="s">
        <v>1667</v>
      </c>
      <c r="R525" s="7" t="n">
        <v>7868</v>
      </c>
      <c r="S525" s="7" t="n">
        <v>384</v>
      </c>
      <c r="T525" s="5" t="s">
        <v>1668</v>
      </c>
      <c r="U525" s="6" t="n">
        <v>161395.19</v>
      </c>
      <c r="V525" s="7" t="n">
        <v>2945</v>
      </c>
      <c r="W525" s="5" t="n">
        <v>61</v>
      </c>
      <c r="X525" s="7" t="n">
        <v>633</v>
      </c>
      <c r="Y525" s="7" t="n">
        <v>3087</v>
      </c>
      <c r="Z525" s="7" t="n">
        <v>241</v>
      </c>
      <c r="AA525" s="10" t="n">
        <v>44.99</v>
      </c>
      <c r="AB525" s="11" t="n">
        <v>106.36</v>
      </c>
      <c r="AC525" s="10" t="n">
        <v>75.6</v>
      </c>
      <c r="AD525" s="12" t="n">
        <v>0.75</v>
      </c>
      <c r="AE525" s="12" t="n">
        <v>0.98</v>
      </c>
      <c r="AF525" s="12" t="n">
        <v>1</v>
      </c>
      <c r="AG525" s="7" t="n">
        <v>53</v>
      </c>
      <c r="AH525" s="7" t="n">
        <v>2400</v>
      </c>
      <c r="AI525" s="5" t="s">
        <v>1669</v>
      </c>
    </row>
    <row r="526" customFormat="false" ht="15" hidden="false" customHeight="false" outlineLevel="0" collapsed="false">
      <c r="A526" s="5" t="s">
        <v>140</v>
      </c>
      <c r="B526" s="5" t="s">
        <v>1670</v>
      </c>
      <c r="C526" s="5"/>
      <c r="D526" s="5" t="s">
        <v>140</v>
      </c>
      <c r="E526" s="5" t="s">
        <v>60</v>
      </c>
      <c r="F526" s="6" t="n">
        <v>18166.02</v>
      </c>
      <c r="G526" s="7" t="n">
        <v>613</v>
      </c>
      <c r="H526" s="8" t="n">
        <v>25.6083</v>
      </c>
      <c r="I526" s="8" t="n">
        <v>23.52</v>
      </c>
      <c r="J526" s="7" t="n">
        <v>47</v>
      </c>
      <c r="K526" s="5" t="n">
        <v>11</v>
      </c>
      <c r="L526" s="5" t="n">
        <v>11</v>
      </c>
      <c r="M526" s="5" t="n">
        <v>4.4</v>
      </c>
      <c r="N526" s="9" t="s">
        <v>54</v>
      </c>
      <c r="O526" s="5"/>
      <c r="P526" s="5"/>
      <c r="Q526" s="5"/>
      <c r="R526" s="7"/>
      <c r="S526" s="7"/>
      <c r="T526" s="5"/>
      <c r="U526" s="6"/>
      <c r="V526" s="7"/>
      <c r="W526" s="5"/>
      <c r="X526" s="7"/>
      <c r="Y526" s="7"/>
      <c r="Z526" s="7"/>
      <c r="AA526" s="10"/>
      <c r="AB526" s="11"/>
      <c r="AC526" s="10"/>
      <c r="AD526" s="12"/>
      <c r="AE526" s="12"/>
      <c r="AF526" s="12"/>
      <c r="AG526" s="7"/>
      <c r="AH526" s="7"/>
      <c r="AI526" s="5" t="s">
        <v>1671</v>
      </c>
    </row>
    <row r="527" customFormat="false" ht="15" hidden="false" customHeight="false" outlineLevel="0" collapsed="false">
      <c r="A527" s="5" t="s">
        <v>140</v>
      </c>
      <c r="B527" s="5" t="s">
        <v>1672</v>
      </c>
      <c r="C527" s="5" t="s">
        <v>1673</v>
      </c>
      <c r="D527" s="5" t="s">
        <v>140</v>
      </c>
      <c r="E527" s="5" t="s">
        <v>53</v>
      </c>
      <c r="F527" s="6" t="n">
        <v>17846.44</v>
      </c>
      <c r="G527" s="7" t="n">
        <v>1138</v>
      </c>
      <c r="H527" s="8" t="n">
        <v>0.2283</v>
      </c>
      <c r="I527" s="8" t="n">
        <v>-0.0687</v>
      </c>
      <c r="J527" s="7" t="n">
        <v>274</v>
      </c>
      <c r="K527" s="5" t="n">
        <v>83</v>
      </c>
      <c r="L527" s="5" t="n">
        <v>1347</v>
      </c>
      <c r="M527" s="5" t="n">
        <v>3.9</v>
      </c>
      <c r="N527" s="9" t="s">
        <v>54</v>
      </c>
      <c r="O527" s="5"/>
      <c r="P527" s="5"/>
      <c r="Q527" s="5"/>
      <c r="R527" s="7"/>
      <c r="S527" s="7"/>
      <c r="T527" s="5"/>
      <c r="U527" s="6"/>
      <c r="V527" s="7"/>
      <c r="W527" s="5"/>
      <c r="X527" s="7"/>
      <c r="Y527" s="7"/>
      <c r="Z527" s="7"/>
      <c r="AA527" s="10"/>
      <c r="AB527" s="11"/>
      <c r="AC527" s="10"/>
      <c r="AD527" s="12"/>
      <c r="AE527" s="12"/>
      <c r="AF527" s="12"/>
      <c r="AG527" s="7"/>
      <c r="AH527" s="7"/>
      <c r="AI527" s="5" t="s">
        <v>1674</v>
      </c>
    </row>
    <row r="528" customFormat="false" ht="15" hidden="false" customHeight="false" outlineLevel="0" collapsed="false">
      <c r="A528" s="5" t="s">
        <v>140</v>
      </c>
      <c r="B528" s="5" t="s">
        <v>1675</v>
      </c>
      <c r="C528" s="5" t="s">
        <v>1675</v>
      </c>
      <c r="D528" s="5" t="s">
        <v>449</v>
      </c>
      <c r="E528" s="5" t="s">
        <v>60</v>
      </c>
      <c r="F528" s="6" t="n">
        <v>17517.36</v>
      </c>
      <c r="G528" s="7" t="n">
        <v>423</v>
      </c>
      <c r="H528" s="8" t="n">
        <v>-0.3114</v>
      </c>
      <c r="I528" s="8" t="n">
        <v>-0.363</v>
      </c>
      <c r="J528" s="7" t="n">
        <v>228</v>
      </c>
      <c r="K528" s="5" t="n">
        <v>10</v>
      </c>
      <c r="L528" s="5" t="n">
        <v>126</v>
      </c>
      <c r="M528" s="5" t="n">
        <v>4.3</v>
      </c>
      <c r="N528" s="13" t="s">
        <v>61</v>
      </c>
      <c r="O528" s="5"/>
      <c r="P528" s="5"/>
      <c r="Q528" s="5"/>
      <c r="R528" s="7"/>
      <c r="S528" s="7"/>
      <c r="T528" s="5"/>
      <c r="U528" s="6"/>
      <c r="V528" s="7"/>
      <c r="W528" s="5"/>
      <c r="X528" s="7"/>
      <c r="Y528" s="7"/>
      <c r="Z528" s="7"/>
      <c r="AA528" s="10"/>
      <c r="AB528" s="11"/>
      <c r="AC528" s="10"/>
      <c r="AD528" s="12"/>
      <c r="AE528" s="12"/>
      <c r="AF528" s="12"/>
      <c r="AG528" s="7"/>
      <c r="AH528" s="7"/>
      <c r="AI528" s="5" t="s">
        <v>1676</v>
      </c>
    </row>
    <row r="529" customFormat="false" ht="15" hidden="false" customHeight="false" outlineLevel="0" collapsed="false">
      <c r="A529" s="5" t="s">
        <v>140</v>
      </c>
      <c r="B529" s="5" t="s">
        <v>1677</v>
      </c>
      <c r="C529" s="5" t="s">
        <v>1678</v>
      </c>
      <c r="D529" s="5" t="s">
        <v>140</v>
      </c>
      <c r="E529" s="5" t="s">
        <v>60</v>
      </c>
      <c r="F529" s="6" t="n">
        <v>17233.83</v>
      </c>
      <c r="G529" s="7" t="n">
        <v>185</v>
      </c>
      <c r="H529" s="8" t="n">
        <v>-0.5731</v>
      </c>
      <c r="I529" s="8" t="n">
        <v>-0.5737</v>
      </c>
      <c r="J529" s="7" t="n">
        <v>834</v>
      </c>
      <c r="K529" s="5" t="n">
        <v>57</v>
      </c>
      <c r="L529" s="5" t="n">
        <v>109</v>
      </c>
      <c r="M529" s="5" t="n">
        <v>4</v>
      </c>
      <c r="N529" s="9" t="s">
        <v>54</v>
      </c>
      <c r="O529" s="5"/>
      <c r="P529" s="5" t="s">
        <v>1679</v>
      </c>
      <c r="Q529" s="14" t="s">
        <v>1680</v>
      </c>
      <c r="R529" s="7" t="n">
        <v>24738</v>
      </c>
      <c r="S529" s="7" t="n">
        <v>1070</v>
      </c>
      <c r="T529" s="5" t="s">
        <v>1681</v>
      </c>
      <c r="U529" s="6" t="n">
        <v>617554.95</v>
      </c>
      <c r="V529" s="7" t="n">
        <v>8486</v>
      </c>
      <c r="W529" s="5" t="n">
        <v>321</v>
      </c>
      <c r="X529" s="7" t="n">
        <v>152</v>
      </c>
      <c r="Y529" s="7" t="n">
        <v>1214</v>
      </c>
      <c r="Z529" s="7" t="n">
        <v>547</v>
      </c>
      <c r="AA529" s="10" t="n">
        <v>5</v>
      </c>
      <c r="AB529" s="11" t="n">
        <v>130</v>
      </c>
      <c r="AC529" s="10" t="n">
        <v>77.5</v>
      </c>
      <c r="AD529" s="12" t="n">
        <v>0.82</v>
      </c>
      <c r="AE529" s="12" t="n">
        <v>0.97</v>
      </c>
      <c r="AF529" s="12" t="n">
        <v>0.96</v>
      </c>
      <c r="AG529" s="7" t="n">
        <v>48</v>
      </c>
      <c r="AH529" s="7" t="n">
        <v>2285</v>
      </c>
      <c r="AI529" s="5" t="s">
        <v>1682</v>
      </c>
    </row>
    <row r="530" customFormat="false" ht="15" hidden="false" customHeight="false" outlineLevel="0" collapsed="false">
      <c r="A530" s="5" t="s">
        <v>140</v>
      </c>
      <c r="B530" s="5" t="s">
        <v>1683</v>
      </c>
      <c r="C530" s="5"/>
      <c r="D530" s="5" t="s">
        <v>140</v>
      </c>
      <c r="E530" s="5" t="s">
        <v>60</v>
      </c>
      <c r="F530" s="6" t="n">
        <v>16996.82</v>
      </c>
      <c r="G530" s="7" t="n">
        <v>317</v>
      </c>
      <c r="H530" s="8" t="n">
        <v>0.2084</v>
      </c>
      <c r="I530" s="8" t="n">
        <v>0.0226</v>
      </c>
      <c r="J530" s="7" t="n">
        <v>18</v>
      </c>
      <c r="K530" s="5" t="n">
        <v>1</v>
      </c>
      <c r="L530" s="5" t="n">
        <v>38</v>
      </c>
      <c r="M530" s="5" t="n">
        <v>4.5</v>
      </c>
      <c r="N530" s="9" t="s">
        <v>54</v>
      </c>
      <c r="O530" s="5"/>
      <c r="P530" s="5"/>
      <c r="Q530" s="5"/>
      <c r="R530" s="7"/>
      <c r="S530" s="7"/>
      <c r="T530" s="5"/>
      <c r="U530" s="6"/>
      <c r="V530" s="7"/>
      <c r="W530" s="5"/>
      <c r="X530" s="7"/>
      <c r="Y530" s="7"/>
      <c r="Z530" s="7"/>
      <c r="AA530" s="10"/>
      <c r="AB530" s="11"/>
      <c r="AC530" s="10"/>
      <c r="AD530" s="12"/>
      <c r="AE530" s="12"/>
      <c r="AF530" s="12"/>
      <c r="AG530" s="7"/>
      <c r="AH530" s="7"/>
      <c r="AI530" s="5" t="s">
        <v>1684</v>
      </c>
    </row>
    <row r="531" customFormat="false" ht="15" hidden="false" customHeight="false" outlineLevel="0" collapsed="false">
      <c r="A531" s="5" t="s">
        <v>140</v>
      </c>
      <c r="B531" s="5" t="s">
        <v>1685</v>
      </c>
      <c r="C531" s="5" t="s">
        <v>1686</v>
      </c>
      <c r="D531" s="5" t="s">
        <v>140</v>
      </c>
      <c r="E531" s="5" t="s">
        <v>60</v>
      </c>
      <c r="F531" s="6" t="n">
        <v>16044.53</v>
      </c>
      <c r="G531" s="7" t="n">
        <v>1002</v>
      </c>
      <c r="H531" s="8" t="n">
        <v>0.6906</v>
      </c>
      <c r="I531" s="8" t="n">
        <v>0.7041</v>
      </c>
      <c r="J531" s="7" t="n">
        <v>199</v>
      </c>
      <c r="K531" s="5" t="n">
        <v>32</v>
      </c>
      <c r="L531" s="5" t="n">
        <v>104</v>
      </c>
      <c r="M531" s="5" t="n">
        <v>4.1</v>
      </c>
      <c r="N531" s="9" t="s">
        <v>54</v>
      </c>
      <c r="O531" s="5"/>
      <c r="P531" s="5"/>
      <c r="Q531" s="5"/>
      <c r="R531" s="7"/>
      <c r="S531" s="7"/>
      <c r="T531" s="5"/>
      <c r="U531" s="6"/>
      <c r="V531" s="7"/>
      <c r="W531" s="5"/>
      <c r="X531" s="7"/>
      <c r="Y531" s="7"/>
      <c r="Z531" s="7"/>
      <c r="AA531" s="10"/>
      <c r="AB531" s="11"/>
      <c r="AC531" s="10"/>
      <c r="AD531" s="12"/>
      <c r="AE531" s="12"/>
      <c r="AF531" s="12"/>
      <c r="AG531" s="7"/>
      <c r="AH531" s="7"/>
      <c r="AI531" s="5" t="s">
        <v>1687</v>
      </c>
    </row>
    <row r="532" customFormat="false" ht="15" hidden="false" customHeight="false" outlineLevel="0" collapsed="false">
      <c r="A532" s="5" t="s">
        <v>140</v>
      </c>
      <c r="B532" s="5" t="s">
        <v>1688</v>
      </c>
      <c r="C532" s="5" t="s">
        <v>1689</v>
      </c>
      <c r="D532" s="5" t="s">
        <v>140</v>
      </c>
      <c r="E532" s="5" t="s">
        <v>53</v>
      </c>
      <c r="F532" s="6" t="n">
        <v>15943.83</v>
      </c>
      <c r="G532" s="7" t="n">
        <v>841</v>
      </c>
      <c r="H532" s="8" t="n">
        <v>0.208</v>
      </c>
      <c r="I532" s="8" t="n">
        <v>0.0565</v>
      </c>
      <c r="J532" s="7" t="n">
        <v>269</v>
      </c>
      <c r="K532" s="5" t="n">
        <v>103</v>
      </c>
      <c r="L532" s="5" t="n">
        <v>495</v>
      </c>
      <c r="M532" s="5" t="n">
        <v>4.6</v>
      </c>
      <c r="N532" s="9" t="s">
        <v>54</v>
      </c>
      <c r="O532" s="5"/>
      <c r="P532" s="5"/>
      <c r="Q532" s="5"/>
      <c r="R532" s="7"/>
      <c r="S532" s="7"/>
      <c r="T532" s="5"/>
      <c r="U532" s="6"/>
      <c r="V532" s="7"/>
      <c r="W532" s="5"/>
      <c r="X532" s="7"/>
      <c r="Y532" s="7"/>
      <c r="Z532" s="7"/>
      <c r="AA532" s="10"/>
      <c r="AB532" s="11"/>
      <c r="AC532" s="10"/>
      <c r="AD532" s="12"/>
      <c r="AE532" s="12"/>
      <c r="AF532" s="12"/>
      <c r="AG532" s="7"/>
      <c r="AH532" s="7"/>
      <c r="AI532" s="5" t="s">
        <v>1690</v>
      </c>
    </row>
    <row r="533" customFormat="false" ht="15" hidden="false" customHeight="false" outlineLevel="0" collapsed="false">
      <c r="A533" s="5" t="s">
        <v>140</v>
      </c>
      <c r="B533" s="5" t="s">
        <v>1691</v>
      </c>
      <c r="C533" s="5" t="s">
        <v>1692</v>
      </c>
      <c r="D533" s="5" t="s">
        <v>140</v>
      </c>
      <c r="E533" s="5" t="s">
        <v>53</v>
      </c>
      <c r="F533" s="6" t="n">
        <v>15510.33</v>
      </c>
      <c r="G533" s="7" t="n">
        <v>502</v>
      </c>
      <c r="H533" s="8" t="n">
        <v>0.9502</v>
      </c>
      <c r="I533" s="8" t="n">
        <v>0.7614</v>
      </c>
      <c r="J533" s="7" t="n">
        <v>398</v>
      </c>
      <c r="K533" s="5" t="n">
        <v>57</v>
      </c>
      <c r="L533" s="5" t="n">
        <v>470</v>
      </c>
      <c r="M533" s="5" t="n">
        <v>3.5</v>
      </c>
      <c r="N533" s="9" t="s">
        <v>54</v>
      </c>
      <c r="O533" s="5"/>
      <c r="P533" s="5"/>
      <c r="Q533" s="5"/>
      <c r="R533" s="7"/>
      <c r="S533" s="7"/>
      <c r="T533" s="5"/>
      <c r="U533" s="6"/>
      <c r="V533" s="7"/>
      <c r="W533" s="5"/>
      <c r="X533" s="7"/>
      <c r="Y533" s="7"/>
      <c r="Z533" s="7"/>
      <c r="AA533" s="10"/>
      <c r="AB533" s="11"/>
      <c r="AC533" s="10"/>
      <c r="AD533" s="12"/>
      <c r="AE533" s="12"/>
      <c r="AF533" s="12"/>
      <c r="AG533" s="7"/>
      <c r="AH533" s="7"/>
      <c r="AI533" s="5" t="s">
        <v>1693</v>
      </c>
    </row>
    <row r="534" customFormat="false" ht="15" hidden="false" customHeight="false" outlineLevel="0" collapsed="false">
      <c r="A534" s="5" t="s">
        <v>140</v>
      </c>
      <c r="B534" s="5" t="s">
        <v>1694</v>
      </c>
      <c r="C534" s="5" t="s">
        <v>1695</v>
      </c>
      <c r="D534" s="5" t="s">
        <v>140</v>
      </c>
      <c r="E534" s="5" t="s">
        <v>53</v>
      </c>
      <c r="F534" s="6" t="n">
        <v>15417.74</v>
      </c>
      <c r="G534" s="7" t="n">
        <v>1036</v>
      </c>
      <c r="H534" s="8" t="n">
        <v>-0.0477</v>
      </c>
      <c r="I534" s="8" t="n">
        <v>0.1486</v>
      </c>
      <c r="J534" s="7" t="n">
        <v>123</v>
      </c>
      <c r="K534" s="5" t="n">
        <v>105</v>
      </c>
      <c r="L534" s="5" t="n">
        <v>1375</v>
      </c>
      <c r="M534" s="5" t="n">
        <v>2.9</v>
      </c>
      <c r="N534" s="9" t="s">
        <v>54</v>
      </c>
      <c r="O534" s="5"/>
      <c r="P534" s="5"/>
      <c r="Q534" s="5"/>
      <c r="R534" s="7"/>
      <c r="S534" s="7"/>
      <c r="T534" s="5"/>
      <c r="U534" s="6"/>
      <c r="V534" s="7"/>
      <c r="W534" s="5"/>
      <c r="X534" s="7"/>
      <c r="Y534" s="7"/>
      <c r="Z534" s="7"/>
      <c r="AA534" s="10"/>
      <c r="AB534" s="11"/>
      <c r="AC534" s="10"/>
      <c r="AD534" s="12"/>
      <c r="AE534" s="12"/>
      <c r="AF534" s="12"/>
      <c r="AG534" s="7"/>
      <c r="AH534" s="7"/>
      <c r="AI534" s="5" t="s">
        <v>1696</v>
      </c>
    </row>
    <row r="535" customFormat="false" ht="15" hidden="false" customHeight="false" outlineLevel="0" collapsed="false">
      <c r="A535" s="5" t="s">
        <v>140</v>
      </c>
      <c r="B535" s="5" t="s">
        <v>1697</v>
      </c>
      <c r="C535" s="5" t="s">
        <v>1698</v>
      </c>
      <c r="D535" s="5" t="s">
        <v>140</v>
      </c>
      <c r="E535" s="5" t="s">
        <v>53</v>
      </c>
      <c r="F535" s="6" t="n">
        <v>15080.07</v>
      </c>
      <c r="G535" s="7" t="n">
        <v>551</v>
      </c>
      <c r="H535" s="8" t="n">
        <v>0.8252</v>
      </c>
      <c r="I535" s="8" t="n">
        <v>0.6111</v>
      </c>
      <c r="J535" s="7" t="n">
        <v>226</v>
      </c>
      <c r="K535" s="5" t="n">
        <v>38</v>
      </c>
      <c r="L535" s="5" t="n">
        <v>90</v>
      </c>
      <c r="M535" s="5" t="n">
        <v>4.1</v>
      </c>
      <c r="N535" s="9" t="s">
        <v>54</v>
      </c>
      <c r="O535" s="5"/>
      <c r="P535" s="5"/>
      <c r="Q535" s="5"/>
      <c r="R535" s="7"/>
      <c r="S535" s="7"/>
      <c r="T535" s="5"/>
      <c r="U535" s="6"/>
      <c r="V535" s="7"/>
      <c r="W535" s="5"/>
      <c r="X535" s="7"/>
      <c r="Y535" s="7"/>
      <c r="Z535" s="7"/>
      <c r="AA535" s="10"/>
      <c r="AB535" s="11"/>
      <c r="AC535" s="10"/>
      <c r="AD535" s="12"/>
      <c r="AE535" s="12"/>
      <c r="AF535" s="12"/>
      <c r="AG535" s="7"/>
      <c r="AH535" s="7"/>
      <c r="AI535" s="5" t="s">
        <v>1699</v>
      </c>
    </row>
    <row r="536" customFormat="false" ht="15" hidden="false" customHeight="false" outlineLevel="0" collapsed="false">
      <c r="A536" s="5" t="s">
        <v>140</v>
      </c>
      <c r="B536" s="5" t="s">
        <v>1700</v>
      </c>
      <c r="C536" s="5" t="s">
        <v>1701</v>
      </c>
      <c r="D536" s="5" t="s">
        <v>449</v>
      </c>
      <c r="E536" s="5" t="s">
        <v>60</v>
      </c>
      <c r="F536" s="6" t="n">
        <v>14407.56</v>
      </c>
      <c r="G536" s="7" t="n">
        <v>550</v>
      </c>
      <c r="H536" s="8" t="n">
        <v>-0.0937</v>
      </c>
      <c r="I536" s="8" t="n">
        <v>-0.0036</v>
      </c>
      <c r="J536" s="7" t="n">
        <v>500</v>
      </c>
      <c r="K536" s="5" t="n">
        <v>24</v>
      </c>
      <c r="L536" s="5" t="n">
        <v>1688</v>
      </c>
      <c r="M536" s="5" t="n">
        <v>3.7</v>
      </c>
      <c r="N536" s="13" t="s">
        <v>61</v>
      </c>
      <c r="O536" s="5"/>
      <c r="P536" s="5"/>
      <c r="Q536" s="5"/>
      <c r="R536" s="7"/>
      <c r="S536" s="7"/>
      <c r="T536" s="5"/>
      <c r="U536" s="6"/>
      <c r="V536" s="7"/>
      <c r="W536" s="5"/>
      <c r="X536" s="7"/>
      <c r="Y536" s="7"/>
      <c r="Z536" s="7"/>
      <c r="AA536" s="10"/>
      <c r="AB536" s="11"/>
      <c r="AC536" s="10"/>
      <c r="AD536" s="12"/>
      <c r="AE536" s="12"/>
      <c r="AF536" s="12"/>
      <c r="AG536" s="7"/>
      <c r="AH536" s="7"/>
      <c r="AI536" s="5" t="s">
        <v>1702</v>
      </c>
    </row>
    <row r="537" customFormat="false" ht="15" hidden="false" customHeight="false" outlineLevel="0" collapsed="false">
      <c r="A537" s="5" t="s">
        <v>140</v>
      </c>
      <c r="B537" s="5" t="s">
        <v>1703</v>
      </c>
      <c r="C537" s="5" t="s">
        <v>1704</v>
      </c>
      <c r="D537" s="5" t="s">
        <v>140</v>
      </c>
      <c r="E537" s="5" t="s">
        <v>53</v>
      </c>
      <c r="F537" s="6" t="n">
        <v>14114.75</v>
      </c>
      <c r="G537" s="7" t="n">
        <v>841</v>
      </c>
      <c r="H537" s="8" t="n">
        <v>-0.234</v>
      </c>
      <c r="I537" s="8" t="n">
        <v>-0.1851</v>
      </c>
      <c r="J537" s="7" t="n">
        <v>549</v>
      </c>
      <c r="K537" s="5" t="n">
        <v>24</v>
      </c>
      <c r="L537" s="5" t="n">
        <v>190</v>
      </c>
      <c r="M537" s="5" t="n">
        <v>4.5</v>
      </c>
      <c r="N537" s="9" t="s">
        <v>54</v>
      </c>
      <c r="O537" s="5"/>
      <c r="P537" s="5"/>
      <c r="Q537" s="5"/>
      <c r="R537" s="7"/>
      <c r="S537" s="7"/>
      <c r="T537" s="5"/>
      <c r="U537" s="6"/>
      <c r="V537" s="7"/>
      <c r="W537" s="5"/>
      <c r="X537" s="7"/>
      <c r="Y537" s="7"/>
      <c r="Z537" s="7"/>
      <c r="AA537" s="10"/>
      <c r="AB537" s="11"/>
      <c r="AC537" s="10"/>
      <c r="AD537" s="12"/>
      <c r="AE537" s="12"/>
      <c r="AF537" s="12"/>
      <c r="AG537" s="7"/>
      <c r="AH537" s="7"/>
      <c r="AI537" s="5" t="s">
        <v>1705</v>
      </c>
    </row>
    <row r="538" customFormat="false" ht="15" hidden="false" customHeight="false" outlineLevel="0" collapsed="false">
      <c r="A538" s="5" t="s">
        <v>140</v>
      </c>
      <c r="B538" s="5" t="s">
        <v>1706</v>
      </c>
      <c r="C538" s="5" t="s">
        <v>1707</v>
      </c>
      <c r="D538" s="5" t="s">
        <v>140</v>
      </c>
      <c r="E538" s="5" t="s">
        <v>53</v>
      </c>
      <c r="F538" s="6" t="n">
        <v>13937.53</v>
      </c>
      <c r="G538" s="7" t="n">
        <v>623</v>
      </c>
      <c r="H538" s="8" t="n">
        <v>0.0165</v>
      </c>
      <c r="I538" s="8" t="n">
        <v>0.0315</v>
      </c>
      <c r="J538" s="7" t="n">
        <v>211</v>
      </c>
      <c r="K538" s="5" t="n">
        <v>15</v>
      </c>
      <c r="L538" s="5" t="n">
        <v>213</v>
      </c>
      <c r="M538" s="5" t="n">
        <v>4.5</v>
      </c>
      <c r="N538" s="9" t="s">
        <v>54</v>
      </c>
      <c r="O538" s="5"/>
      <c r="P538" s="5"/>
      <c r="Q538" s="5"/>
      <c r="R538" s="7"/>
      <c r="S538" s="7"/>
      <c r="T538" s="5"/>
      <c r="U538" s="6"/>
      <c r="V538" s="7"/>
      <c r="W538" s="5"/>
      <c r="X538" s="7"/>
      <c r="Y538" s="7"/>
      <c r="Z538" s="7"/>
      <c r="AA538" s="10"/>
      <c r="AB538" s="11"/>
      <c r="AC538" s="10"/>
      <c r="AD538" s="12"/>
      <c r="AE538" s="12"/>
      <c r="AF538" s="12"/>
      <c r="AG538" s="7"/>
      <c r="AH538" s="7"/>
      <c r="AI538" s="5" t="s">
        <v>1708</v>
      </c>
    </row>
    <row r="539" customFormat="false" ht="15" hidden="false" customHeight="false" outlineLevel="0" collapsed="false">
      <c r="A539" s="5" t="s">
        <v>140</v>
      </c>
      <c r="B539" s="5" t="s">
        <v>1709</v>
      </c>
      <c r="C539" s="5"/>
      <c r="D539" s="5" t="s">
        <v>140</v>
      </c>
      <c r="E539" s="5" t="s">
        <v>60</v>
      </c>
      <c r="F539" s="6" t="n">
        <v>13872.83</v>
      </c>
      <c r="G539" s="7" t="n">
        <v>82</v>
      </c>
      <c r="H539" s="8" t="n">
        <v>0</v>
      </c>
      <c r="I539" s="8" t="n">
        <v>0</v>
      </c>
      <c r="J539" s="7" t="n">
        <v>9</v>
      </c>
      <c r="K539" s="5" t="n">
        <v>3</v>
      </c>
      <c r="L539" s="5" t="n">
        <v>3</v>
      </c>
      <c r="M539" s="5" t="n">
        <v>0</v>
      </c>
      <c r="N539" s="9" t="s">
        <v>54</v>
      </c>
      <c r="O539" s="5"/>
      <c r="P539" s="5"/>
      <c r="Q539" s="5"/>
      <c r="R539" s="7"/>
      <c r="S539" s="7"/>
      <c r="T539" s="5"/>
      <c r="U539" s="6"/>
      <c r="V539" s="7"/>
      <c r="W539" s="5"/>
      <c r="X539" s="7"/>
      <c r="Y539" s="7"/>
      <c r="Z539" s="7"/>
      <c r="AA539" s="10"/>
      <c r="AB539" s="11"/>
      <c r="AC539" s="10"/>
      <c r="AD539" s="12"/>
      <c r="AE539" s="12"/>
      <c r="AF539" s="12"/>
      <c r="AG539" s="7"/>
      <c r="AH539" s="7"/>
      <c r="AI539" s="5" t="s">
        <v>1710</v>
      </c>
    </row>
    <row r="540" customFormat="false" ht="15" hidden="false" customHeight="false" outlineLevel="0" collapsed="false">
      <c r="A540" s="5" t="s">
        <v>140</v>
      </c>
      <c r="B540" s="5" t="s">
        <v>1711</v>
      </c>
      <c r="C540" s="5" t="s">
        <v>1712</v>
      </c>
      <c r="D540" s="5" t="s">
        <v>140</v>
      </c>
      <c r="E540" s="5" t="s">
        <v>60</v>
      </c>
      <c r="F540" s="6" t="n">
        <v>13614.83</v>
      </c>
      <c r="G540" s="7" t="n">
        <v>150</v>
      </c>
      <c r="H540" s="8" t="n">
        <v>-0.2136</v>
      </c>
      <c r="I540" s="8" t="n">
        <v>-0.3952</v>
      </c>
      <c r="J540" s="7" t="n">
        <v>202</v>
      </c>
      <c r="K540" s="5" t="n">
        <v>57</v>
      </c>
      <c r="L540" s="5" t="n">
        <v>4517</v>
      </c>
      <c r="M540" s="5" t="n">
        <v>3.8</v>
      </c>
      <c r="N540" s="9" t="s">
        <v>54</v>
      </c>
      <c r="O540" s="5"/>
      <c r="P540" s="5"/>
      <c r="Q540" s="5"/>
      <c r="R540" s="7"/>
      <c r="S540" s="7"/>
      <c r="T540" s="5"/>
      <c r="U540" s="6"/>
      <c r="V540" s="7"/>
      <c r="W540" s="5"/>
      <c r="X540" s="7"/>
      <c r="Y540" s="7"/>
      <c r="Z540" s="7"/>
      <c r="AA540" s="10"/>
      <c r="AB540" s="11"/>
      <c r="AC540" s="10"/>
      <c r="AD540" s="12"/>
      <c r="AE540" s="12"/>
      <c r="AF540" s="12"/>
      <c r="AG540" s="7"/>
      <c r="AH540" s="7"/>
      <c r="AI540" s="5" t="s">
        <v>1713</v>
      </c>
    </row>
    <row r="541" customFormat="false" ht="15" hidden="false" customHeight="false" outlineLevel="0" collapsed="false">
      <c r="A541" s="5" t="s">
        <v>140</v>
      </c>
      <c r="B541" s="5" t="s">
        <v>1714</v>
      </c>
      <c r="C541" s="5" t="s">
        <v>1715</v>
      </c>
      <c r="D541" s="5" t="s">
        <v>140</v>
      </c>
      <c r="E541" s="5" t="s">
        <v>60</v>
      </c>
      <c r="F541" s="6" t="n">
        <v>13396.28</v>
      </c>
      <c r="G541" s="7" t="n">
        <v>968</v>
      </c>
      <c r="H541" s="8" t="n">
        <v>0.2261</v>
      </c>
      <c r="I541" s="8" t="n">
        <v>-0.1045</v>
      </c>
      <c r="J541" s="7" t="n">
        <v>185</v>
      </c>
      <c r="K541" s="5" t="n">
        <v>60</v>
      </c>
      <c r="L541" s="5" t="n">
        <v>235</v>
      </c>
      <c r="M541" s="5" t="n">
        <v>3.8</v>
      </c>
      <c r="N541" s="9" t="s">
        <v>54</v>
      </c>
      <c r="O541" s="5"/>
      <c r="P541" s="5"/>
      <c r="Q541" s="5"/>
      <c r="R541" s="7"/>
      <c r="S541" s="7"/>
      <c r="T541" s="5"/>
      <c r="U541" s="6"/>
      <c r="V541" s="7"/>
      <c r="W541" s="5"/>
      <c r="X541" s="7"/>
      <c r="Y541" s="7"/>
      <c r="Z541" s="7"/>
      <c r="AA541" s="10"/>
      <c r="AB541" s="11"/>
      <c r="AC541" s="10"/>
      <c r="AD541" s="12"/>
      <c r="AE541" s="12"/>
      <c r="AF541" s="12"/>
      <c r="AG541" s="7"/>
      <c r="AH541" s="7"/>
      <c r="AI541" s="5" t="s">
        <v>1716</v>
      </c>
    </row>
    <row r="542" customFormat="false" ht="15" hidden="false" customHeight="false" outlineLevel="0" collapsed="false">
      <c r="A542" s="5" t="s">
        <v>140</v>
      </c>
      <c r="B542" s="5" t="s">
        <v>1717</v>
      </c>
      <c r="C542" s="5"/>
      <c r="D542" s="5" t="s">
        <v>140</v>
      </c>
      <c r="E542" s="5" t="s">
        <v>60</v>
      </c>
      <c r="F542" s="6" t="n">
        <v>13391.02</v>
      </c>
      <c r="G542" s="7" t="n">
        <v>706</v>
      </c>
      <c r="H542" s="8" t="n">
        <v>14.6895</v>
      </c>
      <c r="I542" s="8" t="n">
        <v>9.2319</v>
      </c>
      <c r="J542" s="7" t="n">
        <v>17</v>
      </c>
      <c r="K542" s="5" t="n">
        <v>67</v>
      </c>
      <c r="L542" s="5" t="n">
        <v>181</v>
      </c>
      <c r="M542" s="5" t="n">
        <v>4.1</v>
      </c>
      <c r="N542" s="9" t="s">
        <v>54</v>
      </c>
      <c r="O542" s="5"/>
      <c r="P542" s="5"/>
      <c r="Q542" s="5"/>
      <c r="R542" s="7"/>
      <c r="S542" s="7"/>
      <c r="T542" s="5"/>
      <c r="U542" s="6"/>
      <c r="V542" s="7"/>
      <c r="W542" s="5"/>
      <c r="X542" s="7"/>
      <c r="Y542" s="7"/>
      <c r="Z542" s="7"/>
      <c r="AA542" s="10"/>
      <c r="AB542" s="11"/>
      <c r="AC542" s="10"/>
      <c r="AD542" s="12"/>
      <c r="AE542" s="12"/>
      <c r="AF542" s="12"/>
      <c r="AG542" s="7"/>
      <c r="AH542" s="7"/>
      <c r="AI542" s="5" t="s">
        <v>1718</v>
      </c>
    </row>
    <row r="543" customFormat="false" ht="15" hidden="false" customHeight="false" outlineLevel="0" collapsed="false">
      <c r="A543" s="5" t="s">
        <v>677</v>
      </c>
      <c r="B543" s="5" t="s">
        <v>1719</v>
      </c>
      <c r="C543" s="5" t="s">
        <v>1720</v>
      </c>
      <c r="D543" s="5" t="s">
        <v>677</v>
      </c>
      <c r="E543" s="5" t="s">
        <v>53</v>
      </c>
      <c r="F543" s="6" t="n">
        <v>29845.81</v>
      </c>
      <c r="G543" s="7" t="n">
        <v>2532</v>
      </c>
      <c r="H543" s="8" t="n">
        <v>-0.4131</v>
      </c>
      <c r="I543" s="8" t="n">
        <v>-0.4261</v>
      </c>
      <c r="J543" s="7" t="n">
        <v>74</v>
      </c>
      <c r="K543" s="5" t="n">
        <v>27</v>
      </c>
      <c r="L543" s="5" t="n">
        <v>28</v>
      </c>
      <c r="M543" s="5" t="n">
        <v>4.7</v>
      </c>
      <c r="N543" s="9" t="s">
        <v>54</v>
      </c>
      <c r="O543" s="5"/>
      <c r="P543" s="5"/>
      <c r="Q543" s="5"/>
      <c r="R543" s="7"/>
      <c r="S543" s="7"/>
      <c r="T543" s="5"/>
      <c r="U543" s="6"/>
      <c r="V543" s="7"/>
      <c r="W543" s="5"/>
      <c r="X543" s="7"/>
      <c r="Y543" s="7"/>
      <c r="Z543" s="7"/>
      <c r="AA543" s="10"/>
      <c r="AB543" s="11"/>
      <c r="AC543" s="10"/>
      <c r="AD543" s="12"/>
      <c r="AE543" s="12"/>
      <c r="AF543" s="12"/>
      <c r="AG543" s="7"/>
      <c r="AH543" s="7"/>
      <c r="AI543" s="5" t="s">
        <v>1721</v>
      </c>
    </row>
    <row r="544" customFormat="false" ht="15" hidden="false" customHeight="false" outlineLevel="0" collapsed="false">
      <c r="A544" s="5" t="s">
        <v>677</v>
      </c>
      <c r="B544" s="5" t="s">
        <v>1722</v>
      </c>
      <c r="C544" s="5"/>
      <c r="D544" s="5" t="s">
        <v>677</v>
      </c>
      <c r="E544" s="5" t="s">
        <v>60</v>
      </c>
      <c r="F544" s="6" t="n">
        <v>29806.56</v>
      </c>
      <c r="G544" s="7" t="n">
        <v>245</v>
      </c>
      <c r="H544" s="8" t="n">
        <v>0.8914</v>
      </c>
      <c r="I544" s="8" t="n">
        <v>0.8148</v>
      </c>
      <c r="J544" s="7" t="n">
        <v>150</v>
      </c>
      <c r="K544" s="5" t="n">
        <v>10</v>
      </c>
      <c r="L544" s="5" t="n">
        <v>23</v>
      </c>
      <c r="M544" s="5" t="n">
        <v>4.4</v>
      </c>
      <c r="N544" s="15" t="s">
        <v>151</v>
      </c>
      <c r="O544" s="5" t="s">
        <v>1723</v>
      </c>
      <c r="P544" s="5"/>
      <c r="Q544" s="5"/>
      <c r="R544" s="7"/>
      <c r="S544" s="7"/>
      <c r="T544" s="5"/>
      <c r="U544" s="6"/>
      <c r="V544" s="7"/>
      <c r="W544" s="5"/>
      <c r="X544" s="7"/>
      <c r="Y544" s="7"/>
      <c r="Z544" s="7"/>
      <c r="AA544" s="10"/>
      <c r="AB544" s="11"/>
      <c r="AC544" s="10"/>
      <c r="AD544" s="12"/>
      <c r="AE544" s="12"/>
      <c r="AF544" s="12"/>
      <c r="AG544" s="7"/>
      <c r="AH544" s="7"/>
      <c r="AI544" s="5" t="s">
        <v>1724</v>
      </c>
    </row>
    <row r="545" customFormat="false" ht="15" hidden="false" customHeight="false" outlineLevel="0" collapsed="false">
      <c r="A545" s="5" t="s">
        <v>677</v>
      </c>
      <c r="B545" s="5" t="s">
        <v>1725</v>
      </c>
      <c r="C545" s="5" t="s">
        <v>1725</v>
      </c>
      <c r="D545" s="5" t="s">
        <v>677</v>
      </c>
      <c r="E545" s="5" t="s">
        <v>60</v>
      </c>
      <c r="F545" s="6" t="n">
        <v>29587.84</v>
      </c>
      <c r="G545" s="7" t="n">
        <v>650</v>
      </c>
      <c r="H545" s="8" t="n">
        <v>0.3738</v>
      </c>
      <c r="I545" s="8" t="n">
        <v>-0.0061</v>
      </c>
      <c r="J545" s="7" t="n">
        <v>20</v>
      </c>
      <c r="K545" s="5" t="n">
        <v>21</v>
      </c>
      <c r="L545" s="5" t="n">
        <v>52</v>
      </c>
      <c r="M545" s="5" t="n">
        <v>4.5</v>
      </c>
      <c r="N545" s="9" t="s">
        <v>54</v>
      </c>
      <c r="O545" s="5"/>
      <c r="P545" s="5"/>
      <c r="Q545" s="5"/>
      <c r="R545" s="7"/>
      <c r="S545" s="7"/>
      <c r="T545" s="5"/>
      <c r="U545" s="6"/>
      <c r="V545" s="7"/>
      <c r="W545" s="5"/>
      <c r="X545" s="7"/>
      <c r="Y545" s="7"/>
      <c r="Z545" s="7"/>
      <c r="AA545" s="10"/>
      <c r="AB545" s="11"/>
      <c r="AC545" s="10"/>
      <c r="AD545" s="12"/>
      <c r="AE545" s="12"/>
      <c r="AF545" s="12"/>
      <c r="AG545" s="7"/>
      <c r="AH545" s="7"/>
      <c r="AI545" s="5" t="s">
        <v>1726</v>
      </c>
    </row>
    <row r="546" customFormat="false" ht="15" hidden="false" customHeight="false" outlineLevel="0" collapsed="false">
      <c r="A546" s="5" t="s">
        <v>677</v>
      </c>
      <c r="B546" s="5" t="s">
        <v>1727</v>
      </c>
      <c r="C546" s="5" t="s">
        <v>1728</v>
      </c>
      <c r="D546" s="5" t="s">
        <v>449</v>
      </c>
      <c r="E546" s="5" t="s">
        <v>60</v>
      </c>
      <c r="F546" s="6" t="n">
        <v>29520.04</v>
      </c>
      <c r="G546" s="7" t="n">
        <v>951</v>
      </c>
      <c r="H546" s="8" t="n">
        <v>1.2235</v>
      </c>
      <c r="I546" s="8" t="n">
        <v>0.843</v>
      </c>
      <c r="J546" s="7" t="n">
        <v>226</v>
      </c>
      <c r="K546" s="5" t="n">
        <v>13</v>
      </c>
      <c r="L546" s="5" t="n">
        <v>4984</v>
      </c>
      <c r="M546" s="5" t="n">
        <v>4.2</v>
      </c>
      <c r="N546" s="13" t="s">
        <v>61</v>
      </c>
      <c r="O546" s="5"/>
      <c r="P546" s="5"/>
      <c r="Q546" s="5"/>
      <c r="R546" s="7"/>
      <c r="S546" s="7"/>
      <c r="T546" s="5"/>
      <c r="U546" s="6"/>
      <c r="V546" s="7"/>
      <c r="W546" s="5"/>
      <c r="X546" s="7"/>
      <c r="Y546" s="7"/>
      <c r="Z546" s="7"/>
      <c r="AA546" s="10"/>
      <c r="AB546" s="11"/>
      <c r="AC546" s="10"/>
      <c r="AD546" s="12"/>
      <c r="AE546" s="12"/>
      <c r="AF546" s="12"/>
      <c r="AG546" s="7"/>
      <c r="AH546" s="7"/>
      <c r="AI546" s="5" t="s">
        <v>1729</v>
      </c>
    </row>
    <row r="547" customFormat="false" ht="15" hidden="false" customHeight="false" outlineLevel="0" collapsed="false">
      <c r="A547" s="5" t="s">
        <v>677</v>
      </c>
      <c r="B547" s="5" t="s">
        <v>1730</v>
      </c>
      <c r="C547" s="5" t="s">
        <v>1731</v>
      </c>
      <c r="D547" s="5" t="s">
        <v>677</v>
      </c>
      <c r="E547" s="5" t="s">
        <v>60</v>
      </c>
      <c r="F547" s="6" t="n">
        <v>29069.44</v>
      </c>
      <c r="G547" s="7" t="n">
        <v>661</v>
      </c>
      <c r="H547" s="8" t="n">
        <v>3.3244</v>
      </c>
      <c r="I547" s="8" t="n">
        <v>3.8963</v>
      </c>
      <c r="J547" s="7" t="n">
        <v>113</v>
      </c>
      <c r="K547" s="5" t="n">
        <v>15</v>
      </c>
      <c r="L547" s="5" t="n">
        <v>1505</v>
      </c>
      <c r="M547" s="5" t="n">
        <v>4.1</v>
      </c>
      <c r="N547" s="9" t="s">
        <v>54</v>
      </c>
      <c r="O547" s="5"/>
      <c r="P547" s="5"/>
      <c r="Q547" s="5"/>
      <c r="R547" s="7"/>
      <c r="S547" s="7"/>
      <c r="T547" s="5"/>
      <c r="U547" s="6"/>
      <c r="V547" s="7"/>
      <c r="W547" s="5"/>
      <c r="X547" s="7"/>
      <c r="Y547" s="7"/>
      <c r="Z547" s="7"/>
      <c r="AA547" s="10"/>
      <c r="AB547" s="11"/>
      <c r="AC547" s="10"/>
      <c r="AD547" s="12"/>
      <c r="AE547" s="12"/>
      <c r="AF547" s="12"/>
      <c r="AG547" s="7"/>
      <c r="AH547" s="7"/>
      <c r="AI547" s="5" t="s">
        <v>1732</v>
      </c>
    </row>
    <row r="548" customFormat="false" ht="15" hidden="false" customHeight="false" outlineLevel="0" collapsed="false">
      <c r="A548" s="5" t="s">
        <v>677</v>
      </c>
      <c r="B548" s="5" t="s">
        <v>1733</v>
      </c>
      <c r="C548" s="5" t="s">
        <v>1734</v>
      </c>
      <c r="D548" s="5" t="s">
        <v>677</v>
      </c>
      <c r="E548" s="5" t="s">
        <v>60</v>
      </c>
      <c r="F548" s="6" t="n">
        <v>28934.16</v>
      </c>
      <c r="G548" s="7" t="n">
        <v>1471</v>
      </c>
      <c r="H548" s="8" t="n">
        <v>-0.4423</v>
      </c>
      <c r="I548" s="8" t="n">
        <v>-0.7498</v>
      </c>
      <c r="J548" s="7" t="n">
        <v>278</v>
      </c>
      <c r="K548" s="5" t="n">
        <v>6</v>
      </c>
      <c r="L548" s="5" t="n">
        <v>15</v>
      </c>
      <c r="M548" s="5" t="n">
        <v>4.4</v>
      </c>
      <c r="N548" s="15" t="s">
        <v>151</v>
      </c>
      <c r="O548" s="5" t="s">
        <v>1735</v>
      </c>
      <c r="P548" s="5" t="s">
        <v>1736</v>
      </c>
      <c r="Q548" s="14" t="s">
        <v>1737</v>
      </c>
      <c r="R548" s="7" t="n">
        <v>34967</v>
      </c>
      <c r="S548" s="7" t="n">
        <v>1080</v>
      </c>
      <c r="T548" s="5" t="s">
        <v>1434</v>
      </c>
      <c r="U548" s="6" t="n">
        <v>677940.25</v>
      </c>
      <c r="V548" s="7" t="n">
        <v>26586</v>
      </c>
      <c r="W548" s="5" t="n">
        <v>142</v>
      </c>
      <c r="X548" s="7" t="n">
        <v>711</v>
      </c>
      <c r="Y548" s="7" t="n">
        <v>7418</v>
      </c>
      <c r="Z548" s="7" t="n">
        <v>30</v>
      </c>
      <c r="AA548" s="10" t="n">
        <v>6</v>
      </c>
      <c r="AB548" s="11" t="n">
        <v>250</v>
      </c>
      <c r="AC548" s="10" t="n">
        <v>61.99</v>
      </c>
      <c r="AD548" s="12" t="n">
        <v>0.89</v>
      </c>
      <c r="AE548" s="12" t="n">
        <v>0.94</v>
      </c>
      <c r="AF548" s="12" t="n">
        <v>0.96</v>
      </c>
      <c r="AG548" s="7" t="n">
        <v>65</v>
      </c>
      <c r="AH548" s="7" t="n">
        <v>1119</v>
      </c>
      <c r="AI548" s="5" t="s">
        <v>1738</v>
      </c>
    </row>
    <row r="549" customFormat="false" ht="15" hidden="false" customHeight="false" outlineLevel="0" collapsed="false">
      <c r="A549" s="5" t="s">
        <v>677</v>
      </c>
      <c r="B549" s="5" t="s">
        <v>1739</v>
      </c>
      <c r="C549" s="5" t="s">
        <v>1739</v>
      </c>
      <c r="D549" s="5" t="s">
        <v>677</v>
      </c>
      <c r="E549" s="5" t="s">
        <v>60</v>
      </c>
      <c r="F549" s="6" t="n">
        <v>28768.67</v>
      </c>
      <c r="G549" s="7" t="n">
        <v>426</v>
      </c>
      <c r="H549" s="8" t="n">
        <v>-0.0132</v>
      </c>
      <c r="I549" s="8" t="n">
        <v>-0.0897</v>
      </c>
      <c r="J549" s="7" t="n">
        <v>233</v>
      </c>
      <c r="K549" s="5" t="n">
        <v>21</v>
      </c>
      <c r="L549" s="5" t="n">
        <v>37</v>
      </c>
      <c r="M549" s="5" t="n">
        <v>3.9</v>
      </c>
      <c r="N549" s="9" t="s">
        <v>54</v>
      </c>
      <c r="O549" s="5"/>
      <c r="P549" s="5" t="s">
        <v>1740</v>
      </c>
      <c r="Q549" s="14" t="s">
        <v>1741</v>
      </c>
      <c r="R549" s="7" t="n">
        <v>2468</v>
      </c>
      <c r="S549" s="7" t="n">
        <v>181</v>
      </c>
      <c r="T549" s="5" t="s">
        <v>1742</v>
      </c>
      <c r="U549" s="6" t="n">
        <v>1182150.69</v>
      </c>
      <c r="V549" s="7" t="n">
        <v>19171</v>
      </c>
      <c r="W549" s="5" t="n">
        <v>90</v>
      </c>
      <c r="X549" s="7" t="n">
        <v>1598</v>
      </c>
      <c r="Y549" s="7" t="n">
        <v>3520</v>
      </c>
      <c r="Z549" s="7" t="n">
        <v>3418</v>
      </c>
      <c r="AA549" s="10" t="n">
        <v>1.05</v>
      </c>
      <c r="AB549" s="11" t="n">
        <v>259.99</v>
      </c>
      <c r="AC549" s="10" t="n">
        <v>67.79</v>
      </c>
      <c r="AD549" s="12" t="n">
        <v>0.8</v>
      </c>
      <c r="AE549" s="12" t="n">
        <v>0.87</v>
      </c>
      <c r="AF549" s="12" t="n">
        <v>1</v>
      </c>
      <c r="AG549" s="7" t="n">
        <v>89</v>
      </c>
      <c r="AH549" s="7" t="n">
        <v>1623</v>
      </c>
      <c r="AI549" s="5" t="s">
        <v>1743</v>
      </c>
    </row>
    <row r="550" customFormat="false" ht="15" hidden="false" customHeight="false" outlineLevel="0" collapsed="false">
      <c r="A550" s="5" t="s">
        <v>677</v>
      </c>
      <c r="B550" s="5" t="s">
        <v>1744</v>
      </c>
      <c r="C550" s="5" t="s">
        <v>1745</v>
      </c>
      <c r="D550" s="5" t="s">
        <v>677</v>
      </c>
      <c r="E550" s="5" t="s">
        <v>53</v>
      </c>
      <c r="F550" s="6" t="n">
        <v>28029.44</v>
      </c>
      <c r="G550" s="7" t="n">
        <v>351</v>
      </c>
      <c r="H550" s="8" t="n">
        <v>-0.3612</v>
      </c>
      <c r="I550" s="8" t="n">
        <v>-0.4674</v>
      </c>
      <c r="J550" s="7" t="n">
        <v>223</v>
      </c>
      <c r="K550" s="5" t="n">
        <v>7</v>
      </c>
      <c r="L550" s="5" t="n">
        <v>11</v>
      </c>
      <c r="M550" s="5" t="n">
        <v>4.7</v>
      </c>
      <c r="N550" s="9" t="s">
        <v>54</v>
      </c>
      <c r="O550" s="5"/>
      <c r="P550" s="5"/>
      <c r="Q550" s="5"/>
      <c r="R550" s="7"/>
      <c r="S550" s="7"/>
      <c r="T550" s="5"/>
      <c r="U550" s="6"/>
      <c r="V550" s="7"/>
      <c r="W550" s="5"/>
      <c r="X550" s="7"/>
      <c r="Y550" s="7"/>
      <c r="Z550" s="7"/>
      <c r="AA550" s="10"/>
      <c r="AB550" s="11"/>
      <c r="AC550" s="10"/>
      <c r="AD550" s="12"/>
      <c r="AE550" s="12"/>
      <c r="AF550" s="12"/>
      <c r="AG550" s="7"/>
      <c r="AH550" s="7"/>
      <c r="AI550" s="5" t="s">
        <v>1746</v>
      </c>
    </row>
    <row r="551" customFormat="false" ht="15" hidden="false" customHeight="false" outlineLevel="0" collapsed="false">
      <c r="A551" s="5" t="s">
        <v>677</v>
      </c>
      <c r="B551" s="5" t="s">
        <v>1747</v>
      </c>
      <c r="C551" s="5" t="s">
        <v>1748</v>
      </c>
      <c r="D551" s="5" t="s">
        <v>449</v>
      </c>
      <c r="E551" s="5" t="s">
        <v>53</v>
      </c>
      <c r="F551" s="6" t="n">
        <v>27335.48</v>
      </c>
      <c r="G551" s="7" t="n">
        <v>666</v>
      </c>
      <c r="H551" s="8" t="n">
        <v>-0.2764</v>
      </c>
      <c r="I551" s="8" t="n">
        <v>-0.2982</v>
      </c>
      <c r="J551" s="7" t="n">
        <v>144</v>
      </c>
      <c r="K551" s="5" t="n">
        <v>1</v>
      </c>
      <c r="L551" s="5" t="n">
        <v>96</v>
      </c>
      <c r="M551" s="5" t="n">
        <v>4.4</v>
      </c>
      <c r="N551" s="13" t="s">
        <v>61</v>
      </c>
      <c r="O551" s="5"/>
      <c r="P551" s="5"/>
      <c r="Q551" s="5"/>
      <c r="R551" s="7"/>
      <c r="S551" s="7"/>
      <c r="T551" s="5"/>
      <c r="U551" s="6"/>
      <c r="V551" s="7"/>
      <c r="W551" s="5"/>
      <c r="X551" s="7"/>
      <c r="Y551" s="7"/>
      <c r="Z551" s="7"/>
      <c r="AA551" s="10"/>
      <c r="AB551" s="11"/>
      <c r="AC551" s="10"/>
      <c r="AD551" s="12"/>
      <c r="AE551" s="12"/>
      <c r="AF551" s="12"/>
      <c r="AG551" s="7"/>
      <c r="AH551" s="7"/>
      <c r="AI551" s="5" t="s">
        <v>1749</v>
      </c>
    </row>
    <row r="552" customFormat="false" ht="15" hidden="false" customHeight="false" outlineLevel="0" collapsed="false">
      <c r="A552" s="5" t="s">
        <v>677</v>
      </c>
      <c r="B552" s="5" t="s">
        <v>1750</v>
      </c>
      <c r="C552" s="5" t="s">
        <v>1751</v>
      </c>
      <c r="D552" s="5" t="s">
        <v>1095</v>
      </c>
      <c r="E552" s="5" t="s">
        <v>60</v>
      </c>
      <c r="F552" s="6" t="n">
        <v>27271.64</v>
      </c>
      <c r="G552" s="7" t="n">
        <v>1347</v>
      </c>
      <c r="H552" s="8" t="n">
        <v>-0.0468</v>
      </c>
      <c r="I552" s="8" t="n">
        <v>-0.1613</v>
      </c>
      <c r="J552" s="7" t="n">
        <v>255</v>
      </c>
      <c r="K552" s="5" t="n">
        <v>9</v>
      </c>
      <c r="L552" s="5" t="n">
        <v>41</v>
      </c>
      <c r="M552" s="5" t="n">
        <v>4.3</v>
      </c>
      <c r="N552" s="13" t="s">
        <v>61</v>
      </c>
      <c r="O552" s="5"/>
      <c r="P552" s="5"/>
      <c r="Q552" s="5"/>
      <c r="R552" s="7"/>
      <c r="S552" s="7"/>
      <c r="T552" s="5"/>
      <c r="U552" s="6"/>
      <c r="V552" s="7"/>
      <c r="W552" s="5"/>
      <c r="X552" s="7"/>
      <c r="Y552" s="7"/>
      <c r="Z552" s="7"/>
      <c r="AA552" s="10"/>
      <c r="AB552" s="11"/>
      <c r="AC552" s="10"/>
      <c r="AD552" s="12"/>
      <c r="AE552" s="12"/>
      <c r="AF552" s="12"/>
      <c r="AG552" s="7"/>
      <c r="AH552" s="7"/>
      <c r="AI552" s="5" t="s">
        <v>1752</v>
      </c>
    </row>
    <row r="553" customFormat="false" ht="15" hidden="false" customHeight="false" outlineLevel="0" collapsed="false">
      <c r="A553" s="5" t="s">
        <v>677</v>
      </c>
      <c r="B553" s="5" t="s">
        <v>1753</v>
      </c>
      <c r="C553" s="5"/>
      <c r="D553" s="5" t="s">
        <v>677</v>
      </c>
      <c r="E553" s="5" t="s">
        <v>53</v>
      </c>
      <c r="F553" s="6" t="n">
        <v>27205.58</v>
      </c>
      <c r="G553" s="7" t="n">
        <v>1359</v>
      </c>
      <c r="H553" s="8" t="n">
        <v>2.8144</v>
      </c>
      <c r="I553" s="8" t="n">
        <v>2.3391</v>
      </c>
      <c r="J553" s="7" t="n">
        <v>254</v>
      </c>
      <c r="K553" s="5" t="n">
        <v>25</v>
      </c>
      <c r="L553" s="5" t="n">
        <v>119</v>
      </c>
      <c r="M553" s="5" t="n">
        <v>4.3</v>
      </c>
      <c r="N553" s="9" t="s">
        <v>54</v>
      </c>
      <c r="O553" s="5"/>
      <c r="P553" s="5"/>
      <c r="Q553" s="5"/>
      <c r="R553" s="7"/>
      <c r="S553" s="7"/>
      <c r="T553" s="5"/>
      <c r="U553" s="6"/>
      <c r="V553" s="7"/>
      <c r="W553" s="5"/>
      <c r="X553" s="7"/>
      <c r="Y553" s="7"/>
      <c r="Z553" s="7"/>
      <c r="AA553" s="10"/>
      <c r="AB553" s="11"/>
      <c r="AC553" s="10"/>
      <c r="AD553" s="12"/>
      <c r="AE553" s="12"/>
      <c r="AF553" s="12"/>
      <c r="AG553" s="7"/>
      <c r="AH553" s="7"/>
      <c r="AI553" s="5" t="s">
        <v>1754</v>
      </c>
    </row>
    <row r="554" customFormat="false" ht="15" hidden="false" customHeight="false" outlineLevel="0" collapsed="false">
      <c r="A554" s="5" t="s">
        <v>677</v>
      </c>
      <c r="B554" s="5" t="s">
        <v>1755</v>
      </c>
      <c r="C554" s="5" t="s">
        <v>1756</v>
      </c>
      <c r="D554" s="5" t="s">
        <v>677</v>
      </c>
      <c r="E554" s="5" t="s">
        <v>60</v>
      </c>
      <c r="F554" s="6" t="n">
        <v>27147.47</v>
      </c>
      <c r="G554" s="7" t="n">
        <v>1164</v>
      </c>
      <c r="H554" s="8" t="n">
        <v>-0.0813</v>
      </c>
      <c r="I554" s="8" t="n">
        <v>0.0374</v>
      </c>
      <c r="J554" s="7" t="n">
        <v>85</v>
      </c>
      <c r="K554" s="5" t="n">
        <v>114</v>
      </c>
      <c r="L554" s="5" t="n">
        <v>914</v>
      </c>
      <c r="M554" s="5" t="n">
        <v>3.8</v>
      </c>
      <c r="N554" s="9" t="s">
        <v>54</v>
      </c>
      <c r="O554" s="5"/>
      <c r="P554" s="5"/>
      <c r="Q554" s="5"/>
      <c r="R554" s="7"/>
      <c r="S554" s="7"/>
      <c r="T554" s="5"/>
      <c r="U554" s="6"/>
      <c r="V554" s="7"/>
      <c r="W554" s="5"/>
      <c r="X554" s="7"/>
      <c r="Y554" s="7"/>
      <c r="Z554" s="7"/>
      <c r="AA554" s="10"/>
      <c r="AB554" s="11"/>
      <c r="AC554" s="10"/>
      <c r="AD554" s="12"/>
      <c r="AE554" s="12"/>
      <c r="AF554" s="12"/>
      <c r="AG554" s="7"/>
      <c r="AH554" s="7"/>
      <c r="AI554" s="5" t="s">
        <v>1757</v>
      </c>
    </row>
    <row r="555" customFormat="false" ht="15" hidden="false" customHeight="false" outlineLevel="0" collapsed="false">
      <c r="A555" s="5" t="s">
        <v>677</v>
      </c>
      <c r="B555" s="5" t="s">
        <v>1758</v>
      </c>
      <c r="C555" s="5" t="s">
        <v>1759</v>
      </c>
      <c r="D555" s="5" t="s">
        <v>677</v>
      </c>
      <c r="E555" s="5" t="s">
        <v>53</v>
      </c>
      <c r="F555" s="6" t="n">
        <v>26919.47</v>
      </c>
      <c r="G555" s="7" t="n">
        <v>2117</v>
      </c>
      <c r="H555" s="8" t="n">
        <v>-0.1588</v>
      </c>
      <c r="I555" s="8" t="n">
        <v>-0.2234</v>
      </c>
      <c r="J555" s="7" t="n">
        <v>346</v>
      </c>
      <c r="K555" s="5" t="n">
        <v>36</v>
      </c>
      <c r="L555" s="5" t="n">
        <v>100</v>
      </c>
      <c r="M555" s="5" t="n">
        <v>4.6</v>
      </c>
      <c r="N555" s="9" t="s">
        <v>54</v>
      </c>
      <c r="O555" s="5"/>
      <c r="P555" s="5"/>
      <c r="Q555" s="5"/>
      <c r="R555" s="7"/>
      <c r="S555" s="7"/>
      <c r="T555" s="5"/>
      <c r="U555" s="6"/>
      <c r="V555" s="7"/>
      <c r="W555" s="5"/>
      <c r="X555" s="7"/>
      <c r="Y555" s="7"/>
      <c r="Z555" s="7"/>
      <c r="AA555" s="10"/>
      <c r="AB555" s="11"/>
      <c r="AC555" s="10"/>
      <c r="AD555" s="12"/>
      <c r="AE555" s="12"/>
      <c r="AF555" s="12"/>
      <c r="AG555" s="7"/>
      <c r="AH555" s="7"/>
      <c r="AI555" s="5" t="s">
        <v>1760</v>
      </c>
    </row>
    <row r="556" customFormat="false" ht="15" hidden="false" customHeight="false" outlineLevel="0" collapsed="false">
      <c r="A556" s="5" t="s">
        <v>677</v>
      </c>
      <c r="B556" s="5" t="s">
        <v>1761</v>
      </c>
      <c r="C556" s="5" t="s">
        <v>1761</v>
      </c>
      <c r="D556" s="5" t="s">
        <v>677</v>
      </c>
      <c r="E556" s="5" t="s">
        <v>60</v>
      </c>
      <c r="F556" s="6" t="n">
        <v>26756.47</v>
      </c>
      <c r="G556" s="7" t="n">
        <v>570</v>
      </c>
      <c r="H556" s="8" t="n">
        <v>1.8621</v>
      </c>
      <c r="I556" s="8" t="n">
        <v>1.375</v>
      </c>
      <c r="J556" s="7" t="n">
        <v>18</v>
      </c>
      <c r="K556" s="5" t="n">
        <v>20</v>
      </c>
      <c r="L556" s="5" t="n">
        <v>154</v>
      </c>
      <c r="M556" s="5" t="n">
        <v>4.5</v>
      </c>
      <c r="N556" s="9" t="s">
        <v>54</v>
      </c>
      <c r="O556" s="5"/>
      <c r="P556" s="5"/>
      <c r="Q556" s="5"/>
      <c r="R556" s="7"/>
      <c r="S556" s="7"/>
      <c r="T556" s="5"/>
      <c r="U556" s="6"/>
      <c r="V556" s="7"/>
      <c r="W556" s="5"/>
      <c r="X556" s="7"/>
      <c r="Y556" s="7"/>
      <c r="Z556" s="7"/>
      <c r="AA556" s="10"/>
      <c r="AB556" s="11"/>
      <c r="AC556" s="10"/>
      <c r="AD556" s="12"/>
      <c r="AE556" s="12"/>
      <c r="AF556" s="12"/>
      <c r="AG556" s="7"/>
      <c r="AH556" s="7"/>
      <c r="AI556" s="5" t="s">
        <v>1762</v>
      </c>
    </row>
    <row r="557" customFormat="false" ht="15" hidden="false" customHeight="false" outlineLevel="0" collapsed="false">
      <c r="A557" s="5" t="s">
        <v>677</v>
      </c>
      <c r="B557" s="5" t="s">
        <v>1763</v>
      </c>
      <c r="C557" s="5"/>
      <c r="D557" s="5" t="s">
        <v>677</v>
      </c>
      <c r="E557" s="5" t="s">
        <v>53</v>
      </c>
      <c r="F557" s="6" t="n">
        <v>26271.35</v>
      </c>
      <c r="G557" s="7" t="n">
        <v>1022</v>
      </c>
      <c r="H557" s="8" t="n">
        <v>0.2959</v>
      </c>
      <c r="I557" s="8" t="n">
        <v>0.0872</v>
      </c>
      <c r="J557" s="7" t="n">
        <v>267</v>
      </c>
      <c r="K557" s="5" t="n">
        <v>8</v>
      </c>
      <c r="L557" s="5" t="n">
        <v>52</v>
      </c>
      <c r="M557" s="5" t="n">
        <v>3.8</v>
      </c>
      <c r="N557" s="9" t="s">
        <v>54</v>
      </c>
      <c r="O557" s="5"/>
      <c r="P557" s="5"/>
      <c r="Q557" s="5"/>
      <c r="R557" s="7"/>
      <c r="S557" s="7"/>
      <c r="T557" s="5"/>
      <c r="U557" s="6"/>
      <c r="V557" s="7"/>
      <c r="W557" s="5"/>
      <c r="X557" s="7"/>
      <c r="Y557" s="7"/>
      <c r="Z557" s="7"/>
      <c r="AA557" s="10"/>
      <c r="AB557" s="11"/>
      <c r="AC557" s="10"/>
      <c r="AD557" s="12"/>
      <c r="AE557" s="12"/>
      <c r="AF557" s="12"/>
      <c r="AG557" s="7"/>
      <c r="AH557" s="7"/>
      <c r="AI557" s="5" t="s">
        <v>1764</v>
      </c>
    </row>
    <row r="558" customFormat="false" ht="15" hidden="false" customHeight="false" outlineLevel="0" collapsed="false">
      <c r="A558" s="5" t="s">
        <v>677</v>
      </c>
      <c r="B558" s="5" t="s">
        <v>1765</v>
      </c>
      <c r="C558" s="5"/>
      <c r="D558" s="5" t="s">
        <v>1095</v>
      </c>
      <c r="E558" s="5" t="s">
        <v>53</v>
      </c>
      <c r="F558" s="6" t="n">
        <v>24867.31</v>
      </c>
      <c r="G558" s="7" t="n">
        <v>562</v>
      </c>
      <c r="H558" s="8" t="n">
        <v>1.609</v>
      </c>
      <c r="I558" s="8" t="n">
        <v>0.5313</v>
      </c>
      <c r="J558" s="7" t="n">
        <v>51</v>
      </c>
      <c r="K558" s="5" t="n">
        <v>12</v>
      </c>
      <c r="L558" s="5" t="n">
        <v>217</v>
      </c>
      <c r="M558" s="5" t="n">
        <v>4.2</v>
      </c>
      <c r="N558" s="13" t="s">
        <v>61</v>
      </c>
      <c r="O558" s="5"/>
      <c r="P558" s="5"/>
      <c r="Q558" s="5"/>
      <c r="R558" s="7"/>
      <c r="S558" s="7"/>
      <c r="T558" s="5"/>
      <c r="U558" s="6"/>
      <c r="V558" s="7"/>
      <c r="W558" s="5"/>
      <c r="X558" s="7"/>
      <c r="Y558" s="7"/>
      <c r="Z558" s="7"/>
      <c r="AA558" s="10"/>
      <c r="AB558" s="11"/>
      <c r="AC558" s="10"/>
      <c r="AD558" s="12"/>
      <c r="AE558" s="12"/>
      <c r="AF558" s="12"/>
      <c r="AG558" s="7"/>
      <c r="AH558" s="7"/>
      <c r="AI558" s="5" t="s">
        <v>1766</v>
      </c>
    </row>
    <row r="559" customFormat="false" ht="15" hidden="false" customHeight="false" outlineLevel="0" collapsed="false">
      <c r="A559" s="5" t="s">
        <v>677</v>
      </c>
      <c r="B559" s="5" t="s">
        <v>1767</v>
      </c>
      <c r="C559" s="5"/>
      <c r="D559" s="5" t="s">
        <v>449</v>
      </c>
      <c r="E559" s="5" t="s">
        <v>60</v>
      </c>
      <c r="F559" s="6" t="n">
        <v>24472.76</v>
      </c>
      <c r="G559" s="7" t="n">
        <v>544</v>
      </c>
      <c r="H559" s="8" t="n">
        <v>0.3153</v>
      </c>
      <c r="I559" s="8" t="n">
        <v>0.1286</v>
      </c>
      <c r="J559" s="7" t="n">
        <v>112</v>
      </c>
      <c r="K559" s="5" t="n">
        <v>14</v>
      </c>
      <c r="L559" s="5" t="n">
        <v>7986</v>
      </c>
      <c r="M559" s="5" t="n">
        <v>4.3</v>
      </c>
      <c r="N559" s="13" t="s">
        <v>61</v>
      </c>
      <c r="O559" s="5"/>
      <c r="P559" s="5"/>
      <c r="Q559" s="5"/>
      <c r="R559" s="7"/>
      <c r="S559" s="7"/>
      <c r="T559" s="5"/>
      <c r="U559" s="6"/>
      <c r="V559" s="7"/>
      <c r="W559" s="5"/>
      <c r="X559" s="7"/>
      <c r="Y559" s="7"/>
      <c r="Z559" s="7"/>
      <c r="AA559" s="10"/>
      <c r="AB559" s="11"/>
      <c r="AC559" s="10"/>
      <c r="AD559" s="12"/>
      <c r="AE559" s="12"/>
      <c r="AF559" s="12"/>
      <c r="AG559" s="7"/>
      <c r="AH559" s="7"/>
      <c r="AI559" s="5" t="s">
        <v>1768</v>
      </c>
    </row>
    <row r="560" customFormat="false" ht="15" hidden="false" customHeight="false" outlineLevel="0" collapsed="false">
      <c r="A560" s="5" t="s">
        <v>677</v>
      </c>
      <c r="B560" s="5" t="s">
        <v>1769</v>
      </c>
      <c r="C560" s="5" t="s">
        <v>1770</v>
      </c>
      <c r="D560" s="5" t="s">
        <v>677</v>
      </c>
      <c r="E560" s="5" t="s">
        <v>60</v>
      </c>
      <c r="F560" s="6" t="n">
        <v>24411.71</v>
      </c>
      <c r="G560" s="7" t="n">
        <v>1019</v>
      </c>
      <c r="H560" s="8" t="n">
        <v>2.59</v>
      </c>
      <c r="I560" s="8" t="n">
        <v>1.9282</v>
      </c>
      <c r="J560" s="7" t="n">
        <v>145</v>
      </c>
      <c r="K560" s="5" t="n">
        <v>35</v>
      </c>
      <c r="L560" s="5" t="n">
        <v>68</v>
      </c>
      <c r="M560" s="5" t="n">
        <v>4.4</v>
      </c>
      <c r="N560" s="9" t="s">
        <v>54</v>
      </c>
      <c r="O560" s="5"/>
      <c r="P560" s="5"/>
      <c r="Q560" s="5"/>
      <c r="R560" s="7"/>
      <c r="S560" s="7"/>
      <c r="T560" s="5"/>
      <c r="U560" s="6"/>
      <c r="V560" s="7"/>
      <c r="W560" s="5"/>
      <c r="X560" s="7"/>
      <c r="Y560" s="7"/>
      <c r="Z560" s="7"/>
      <c r="AA560" s="10"/>
      <c r="AB560" s="11"/>
      <c r="AC560" s="10"/>
      <c r="AD560" s="12"/>
      <c r="AE560" s="12"/>
      <c r="AF560" s="12"/>
      <c r="AG560" s="7"/>
      <c r="AH560" s="7"/>
      <c r="AI560" s="5" t="s">
        <v>1771</v>
      </c>
    </row>
    <row r="561" customFormat="false" ht="15" hidden="false" customHeight="false" outlineLevel="0" collapsed="false">
      <c r="A561" s="5" t="s">
        <v>677</v>
      </c>
      <c r="B561" s="5" t="s">
        <v>1772</v>
      </c>
      <c r="C561" s="5" t="s">
        <v>1773</v>
      </c>
      <c r="D561" s="5" t="s">
        <v>449</v>
      </c>
      <c r="E561" s="5" t="s">
        <v>53</v>
      </c>
      <c r="F561" s="6" t="n">
        <v>23829.48</v>
      </c>
      <c r="G561" s="7" t="n">
        <v>918</v>
      </c>
      <c r="H561" s="8" t="n">
        <v>0.4685</v>
      </c>
      <c r="I561" s="8" t="n">
        <v>0.5965</v>
      </c>
      <c r="J561" s="7" t="n">
        <v>168</v>
      </c>
      <c r="K561" s="5" t="n">
        <v>3</v>
      </c>
      <c r="L561" s="5" t="n">
        <v>68</v>
      </c>
      <c r="M561" s="5" t="n">
        <v>4.8</v>
      </c>
      <c r="N561" s="13" t="s">
        <v>61</v>
      </c>
      <c r="O561" s="5"/>
      <c r="P561" s="5"/>
      <c r="Q561" s="5"/>
      <c r="R561" s="7"/>
      <c r="S561" s="7"/>
      <c r="T561" s="5"/>
      <c r="U561" s="6"/>
      <c r="V561" s="7"/>
      <c r="W561" s="5"/>
      <c r="X561" s="7"/>
      <c r="Y561" s="7"/>
      <c r="Z561" s="7"/>
      <c r="AA561" s="10"/>
      <c r="AB561" s="11"/>
      <c r="AC561" s="10"/>
      <c r="AD561" s="12"/>
      <c r="AE561" s="12"/>
      <c r="AF561" s="12"/>
      <c r="AG561" s="7"/>
      <c r="AH561" s="7"/>
      <c r="AI561" s="5" t="s">
        <v>1774</v>
      </c>
    </row>
    <row r="562" customFormat="false" ht="15" hidden="false" customHeight="false" outlineLevel="0" collapsed="false">
      <c r="A562" s="5" t="s">
        <v>677</v>
      </c>
      <c r="B562" s="5" t="s">
        <v>1775</v>
      </c>
      <c r="C562" s="5" t="s">
        <v>1776</v>
      </c>
      <c r="D562" s="5" t="s">
        <v>677</v>
      </c>
      <c r="E562" s="5" t="s">
        <v>60</v>
      </c>
      <c r="F562" s="6" t="n">
        <v>23671.03</v>
      </c>
      <c r="G562" s="7" t="n">
        <v>1062</v>
      </c>
      <c r="H562" s="8" t="n">
        <v>0.3026</v>
      </c>
      <c r="I562" s="8" t="n">
        <v>0.0453</v>
      </c>
      <c r="J562" s="7" t="n">
        <v>473</v>
      </c>
      <c r="K562" s="5" t="n">
        <v>12</v>
      </c>
      <c r="L562" s="5" t="n">
        <v>13</v>
      </c>
      <c r="M562" s="5" t="n">
        <v>4.9</v>
      </c>
      <c r="N562" s="9" t="s">
        <v>54</v>
      </c>
      <c r="O562" s="5"/>
      <c r="P562" s="5" t="s">
        <v>1777</v>
      </c>
      <c r="Q562" s="14" t="s">
        <v>1778</v>
      </c>
      <c r="R562" s="7" t="n">
        <v>7024</v>
      </c>
      <c r="S562" s="7" t="n">
        <v>595</v>
      </c>
      <c r="T562" s="5" t="s">
        <v>1779</v>
      </c>
      <c r="U562" s="6" t="n">
        <v>161149.84</v>
      </c>
      <c r="V562" s="7" t="n">
        <v>10006</v>
      </c>
      <c r="W562" s="5" t="n">
        <v>18</v>
      </c>
      <c r="X562" s="7" t="n">
        <v>548</v>
      </c>
      <c r="Y562" s="7" t="n">
        <v>3163</v>
      </c>
      <c r="Z562" s="7" t="n">
        <v>170</v>
      </c>
      <c r="AA562" s="10" t="n">
        <v>4.02</v>
      </c>
      <c r="AB562" s="11" t="n">
        <v>45.49</v>
      </c>
      <c r="AC562" s="10" t="n">
        <v>17.64</v>
      </c>
      <c r="AD562" s="12" t="n">
        <v>0.86</v>
      </c>
      <c r="AE562" s="12" t="n">
        <v>0.95</v>
      </c>
      <c r="AF562" s="12" t="n">
        <v>1</v>
      </c>
      <c r="AG562" s="7" t="n">
        <v>99</v>
      </c>
      <c r="AH562" s="7" t="n">
        <v>1938</v>
      </c>
      <c r="AI562" s="5" t="s">
        <v>1780</v>
      </c>
    </row>
    <row r="563" customFormat="false" ht="15" hidden="false" customHeight="false" outlineLevel="0" collapsed="false">
      <c r="A563" s="5" t="s">
        <v>677</v>
      </c>
      <c r="B563" s="5" t="s">
        <v>1781</v>
      </c>
      <c r="C563" s="5" t="s">
        <v>1782</v>
      </c>
      <c r="D563" s="5" t="s">
        <v>449</v>
      </c>
      <c r="E563" s="5" t="s">
        <v>60</v>
      </c>
      <c r="F563" s="6" t="n">
        <v>23455.52</v>
      </c>
      <c r="G563" s="7" t="n">
        <v>1298</v>
      </c>
      <c r="H563" s="8" t="n">
        <v>-0.1726</v>
      </c>
      <c r="I563" s="8" t="n">
        <v>-0.2195</v>
      </c>
      <c r="J563" s="7" t="n">
        <v>134</v>
      </c>
      <c r="K563" s="5" t="n">
        <v>4</v>
      </c>
      <c r="L563" s="5" t="n">
        <v>67</v>
      </c>
      <c r="M563" s="5" t="n">
        <v>4.2</v>
      </c>
      <c r="N563" s="13" t="s">
        <v>61</v>
      </c>
      <c r="O563" s="5"/>
      <c r="P563" s="5"/>
      <c r="Q563" s="5"/>
      <c r="R563" s="7"/>
      <c r="S563" s="7"/>
      <c r="T563" s="5"/>
      <c r="U563" s="6"/>
      <c r="V563" s="7"/>
      <c r="W563" s="5"/>
      <c r="X563" s="7"/>
      <c r="Y563" s="7"/>
      <c r="Z563" s="7"/>
      <c r="AA563" s="10"/>
      <c r="AB563" s="11"/>
      <c r="AC563" s="10"/>
      <c r="AD563" s="12"/>
      <c r="AE563" s="12"/>
      <c r="AF563" s="12"/>
      <c r="AG563" s="7"/>
      <c r="AH563" s="7"/>
      <c r="AI563" s="5" t="s">
        <v>1783</v>
      </c>
    </row>
    <row r="564" customFormat="false" ht="15" hidden="false" customHeight="false" outlineLevel="0" collapsed="false">
      <c r="A564" s="5" t="s">
        <v>677</v>
      </c>
      <c r="B564" s="5" t="s">
        <v>1784</v>
      </c>
      <c r="C564" s="5" t="s">
        <v>1785</v>
      </c>
      <c r="D564" s="5" t="s">
        <v>150</v>
      </c>
      <c r="E564" s="5" t="s">
        <v>60</v>
      </c>
      <c r="F564" s="6" t="n">
        <v>23173.88</v>
      </c>
      <c r="G564" s="7" t="n">
        <v>537</v>
      </c>
      <c r="H564" s="8" t="n">
        <v>0.1413</v>
      </c>
      <c r="I564" s="8" t="n">
        <v>-0.0677</v>
      </c>
      <c r="J564" s="7" t="n">
        <v>349</v>
      </c>
      <c r="K564" s="5" t="n">
        <v>8</v>
      </c>
      <c r="L564" s="5" t="n">
        <v>104</v>
      </c>
      <c r="M564" s="5" t="n">
        <v>4.7</v>
      </c>
      <c r="N564" s="13" t="s">
        <v>61</v>
      </c>
      <c r="O564" s="5"/>
      <c r="P564" s="5"/>
      <c r="Q564" s="5"/>
      <c r="R564" s="7"/>
      <c r="S564" s="7"/>
      <c r="T564" s="5"/>
      <c r="U564" s="6"/>
      <c r="V564" s="7"/>
      <c r="W564" s="5"/>
      <c r="X564" s="7"/>
      <c r="Y564" s="7"/>
      <c r="Z564" s="7"/>
      <c r="AA564" s="10"/>
      <c r="AB564" s="11"/>
      <c r="AC564" s="10"/>
      <c r="AD564" s="12"/>
      <c r="AE564" s="12"/>
      <c r="AF564" s="12"/>
      <c r="AG564" s="7"/>
      <c r="AH564" s="7"/>
      <c r="AI564" s="5" t="s">
        <v>1786</v>
      </c>
    </row>
    <row r="565" customFormat="false" ht="15" hidden="false" customHeight="false" outlineLevel="0" collapsed="false">
      <c r="A565" s="5" t="s">
        <v>677</v>
      </c>
      <c r="B565" s="5" t="s">
        <v>1787</v>
      </c>
      <c r="C565" s="5" t="s">
        <v>1788</v>
      </c>
      <c r="D565" s="5" t="s">
        <v>677</v>
      </c>
      <c r="E565" s="5" t="s">
        <v>60</v>
      </c>
      <c r="F565" s="6" t="n">
        <v>22684.46</v>
      </c>
      <c r="G565" s="7" t="n">
        <v>1547</v>
      </c>
      <c r="H565" s="8" t="n">
        <v>-0.0733</v>
      </c>
      <c r="I565" s="8" t="n">
        <v>0.4089</v>
      </c>
      <c r="J565" s="7" t="n">
        <v>125</v>
      </c>
      <c r="K565" s="5" t="n">
        <v>49</v>
      </c>
      <c r="L565" s="5" t="n">
        <v>430</v>
      </c>
      <c r="M565" s="5" t="n">
        <v>4.2</v>
      </c>
      <c r="N565" s="9" t="s">
        <v>54</v>
      </c>
      <c r="O565" s="5"/>
      <c r="P565" s="5"/>
      <c r="Q565" s="5"/>
      <c r="R565" s="7"/>
      <c r="S565" s="7"/>
      <c r="T565" s="5"/>
      <c r="U565" s="6"/>
      <c r="V565" s="7"/>
      <c r="W565" s="5"/>
      <c r="X565" s="7"/>
      <c r="Y565" s="7"/>
      <c r="Z565" s="7"/>
      <c r="AA565" s="10"/>
      <c r="AB565" s="11"/>
      <c r="AC565" s="10"/>
      <c r="AD565" s="12"/>
      <c r="AE565" s="12"/>
      <c r="AF565" s="12"/>
      <c r="AG565" s="7"/>
      <c r="AH565" s="7"/>
      <c r="AI565" s="5" t="s">
        <v>1789</v>
      </c>
    </row>
    <row r="566" customFormat="false" ht="15" hidden="false" customHeight="false" outlineLevel="0" collapsed="false">
      <c r="A566" s="5" t="s">
        <v>677</v>
      </c>
      <c r="B566" s="5" t="s">
        <v>1790</v>
      </c>
      <c r="C566" s="5" t="s">
        <v>1790</v>
      </c>
      <c r="D566" s="5" t="s">
        <v>83</v>
      </c>
      <c r="E566" s="5" t="s">
        <v>60</v>
      </c>
      <c r="F566" s="6" t="n">
        <v>22500.53</v>
      </c>
      <c r="G566" s="7" t="n">
        <v>488</v>
      </c>
      <c r="H566" s="8" t="n">
        <v>0.1102</v>
      </c>
      <c r="I566" s="8" t="n">
        <v>-0.1046</v>
      </c>
      <c r="J566" s="7" t="n">
        <v>78</v>
      </c>
      <c r="K566" s="5" t="n">
        <v>3</v>
      </c>
      <c r="L566" s="5" t="n">
        <v>67</v>
      </c>
      <c r="M566" s="5" t="n">
        <v>4.5</v>
      </c>
      <c r="N566" s="13" t="s">
        <v>61</v>
      </c>
      <c r="O566" s="5"/>
      <c r="P566" s="5"/>
      <c r="Q566" s="5"/>
      <c r="R566" s="7"/>
      <c r="S566" s="7"/>
      <c r="T566" s="5"/>
      <c r="U566" s="6"/>
      <c r="V566" s="7"/>
      <c r="W566" s="5"/>
      <c r="X566" s="7"/>
      <c r="Y566" s="7"/>
      <c r="Z566" s="7"/>
      <c r="AA566" s="10"/>
      <c r="AB566" s="11"/>
      <c r="AC566" s="10"/>
      <c r="AD566" s="12"/>
      <c r="AE566" s="12"/>
      <c r="AF566" s="12"/>
      <c r="AG566" s="7"/>
      <c r="AH566" s="7"/>
      <c r="AI566" s="5" t="s">
        <v>1791</v>
      </c>
    </row>
    <row r="567" customFormat="false" ht="15" hidden="false" customHeight="false" outlineLevel="0" collapsed="false">
      <c r="A567" s="5" t="s">
        <v>730</v>
      </c>
      <c r="B567" s="5" t="s">
        <v>1792</v>
      </c>
      <c r="C567" s="5" t="s">
        <v>1792</v>
      </c>
      <c r="D567" s="5" t="s">
        <v>730</v>
      </c>
      <c r="E567" s="5" t="s">
        <v>60</v>
      </c>
      <c r="F567" s="6" t="n">
        <v>26119.51</v>
      </c>
      <c r="G567" s="7" t="n">
        <v>1793</v>
      </c>
      <c r="H567" s="8" t="n">
        <v>0.0601</v>
      </c>
      <c r="I567" s="8" t="n">
        <v>-0.1602</v>
      </c>
      <c r="J567" s="7" t="n">
        <v>157</v>
      </c>
      <c r="K567" s="5" t="n">
        <v>18</v>
      </c>
      <c r="L567" s="5" t="n">
        <v>27</v>
      </c>
      <c r="M567" s="5" t="n">
        <v>4.2</v>
      </c>
      <c r="N567" s="9" t="s">
        <v>54</v>
      </c>
      <c r="O567" s="5"/>
      <c r="P567" s="5"/>
      <c r="Q567" s="5"/>
      <c r="R567" s="7"/>
      <c r="S567" s="7"/>
      <c r="T567" s="5"/>
      <c r="U567" s="6"/>
      <c r="V567" s="7"/>
      <c r="W567" s="5"/>
      <c r="X567" s="7"/>
      <c r="Y567" s="7"/>
      <c r="Z567" s="7"/>
      <c r="AA567" s="10"/>
      <c r="AB567" s="11"/>
      <c r="AC567" s="10"/>
      <c r="AD567" s="12"/>
      <c r="AE567" s="12"/>
      <c r="AF567" s="12"/>
      <c r="AG567" s="7"/>
      <c r="AH567" s="7"/>
      <c r="AI567" s="5" t="s">
        <v>1793</v>
      </c>
    </row>
    <row r="568" customFormat="false" ht="15" hidden="false" customHeight="false" outlineLevel="0" collapsed="false">
      <c r="A568" s="5" t="s">
        <v>730</v>
      </c>
      <c r="B568" s="5" t="s">
        <v>1794</v>
      </c>
      <c r="C568" s="5" t="s">
        <v>1795</v>
      </c>
      <c r="D568" s="5" t="s">
        <v>730</v>
      </c>
      <c r="E568" s="5" t="s">
        <v>60</v>
      </c>
      <c r="F568" s="6" t="n">
        <v>25791.18</v>
      </c>
      <c r="G568" s="7" t="n">
        <v>3267</v>
      </c>
      <c r="H568" s="8" t="n">
        <v>0.3485</v>
      </c>
      <c r="I568" s="8" t="n">
        <v>0.3216</v>
      </c>
      <c r="J568" s="7" t="n">
        <v>991</v>
      </c>
      <c r="K568" s="5" t="n">
        <v>67</v>
      </c>
      <c r="L568" s="5" t="n">
        <v>139</v>
      </c>
      <c r="M568" s="5" t="n">
        <v>4.4</v>
      </c>
      <c r="N568" s="9" t="s">
        <v>54</v>
      </c>
      <c r="O568" s="5"/>
      <c r="P568" s="5"/>
      <c r="Q568" s="5"/>
      <c r="R568" s="7"/>
      <c r="S568" s="7"/>
      <c r="T568" s="5"/>
      <c r="U568" s="6"/>
      <c r="V568" s="7"/>
      <c r="W568" s="5"/>
      <c r="X568" s="7"/>
      <c r="Y568" s="7"/>
      <c r="Z568" s="7"/>
      <c r="AA568" s="10"/>
      <c r="AB568" s="11"/>
      <c r="AC568" s="10"/>
      <c r="AD568" s="12"/>
      <c r="AE568" s="12"/>
      <c r="AF568" s="12"/>
      <c r="AG568" s="7"/>
      <c r="AH568" s="7"/>
      <c r="AI568" s="5" t="s">
        <v>1796</v>
      </c>
    </row>
    <row r="569" customFormat="false" ht="15" hidden="false" customHeight="false" outlineLevel="0" collapsed="false">
      <c r="A569" s="5" t="s">
        <v>730</v>
      </c>
      <c r="B569" s="5" t="s">
        <v>1797</v>
      </c>
      <c r="C569" s="5" t="s">
        <v>1798</v>
      </c>
      <c r="D569" s="5" t="s">
        <v>730</v>
      </c>
      <c r="E569" s="5" t="s">
        <v>60</v>
      </c>
      <c r="F569" s="6" t="n">
        <v>24523.19</v>
      </c>
      <c r="G569" s="7" t="n">
        <v>2789</v>
      </c>
      <c r="H569" s="8" t="n">
        <v>0.8477</v>
      </c>
      <c r="I569" s="8" t="n">
        <v>0.591</v>
      </c>
      <c r="J569" s="7" t="n">
        <v>1201</v>
      </c>
      <c r="K569" s="5" t="n">
        <v>23</v>
      </c>
      <c r="L569" s="5" t="n">
        <v>42</v>
      </c>
      <c r="M569" s="5" t="n">
        <v>4.7</v>
      </c>
      <c r="N569" s="9" t="s">
        <v>54</v>
      </c>
      <c r="O569" s="5"/>
      <c r="P569" s="5"/>
      <c r="Q569" s="5"/>
      <c r="R569" s="7"/>
      <c r="S569" s="7"/>
      <c r="T569" s="5"/>
      <c r="U569" s="6"/>
      <c r="V569" s="7"/>
      <c r="W569" s="5"/>
      <c r="X569" s="7"/>
      <c r="Y569" s="7"/>
      <c r="Z569" s="7"/>
      <c r="AA569" s="10"/>
      <c r="AB569" s="11"/>
      <c r="AC569" s="10"/>
      <c r="AD569" s="12"/>
      <c r="AE569" s="12"/>
      <c r="AF569" s="12"/>
      <c r="AG569" s="7"/>
      <c r="AH569" s="7"/>
      <c r="AI569" s="5" t="s">
        <v>1799</v>
      </c>
    </row>
    <row r="570" customFormat="false" ht="15" hidden="false" customHeight="false" outlineLevel="0" collapsed="false">
      <c r="A570" s="5" t="s">
        <v>730</v>
      </c>
      <c r="B570" s="5" t="s">
        <v>1800</v>
      </c>
      <c r="C570" s="5" t="s">
        <v>1801</v>
      </c>
      <c r="D570" s="5" t="s">
        <v>730</v>
      </c>
      <c r="E570" s="5" t="s">
        <v>53</v>
      </c>
      <c r="F570" s="6" t="n">
        <v>23623.5</v>
      </c>
      <c r="G570" s="7" t="n">
        <v>1426</v>
      </c>
      <c r="H570" s="8" t="n">
        <v>1.2668</v>
      </c>
      <c r="I570" s="8" t="n">
        <v>0.8329</v>
      </c>
      <c r="J570" s="7" t="n">
        <v>258</v>
      </c>
      <c r="K570" s="5" t="n">
        <v>24</v>
      </c>
      <c r="L570" s="5" t="n">
        <v>727</v>
      </c>
      <c r="M570" s="5" t="n">
        <v>4.5</v>
      </c>
      <c r="N570" s="9" t="s">
        <v>54</v>
      </c>
      <c r="O570" s="5"/>
      <c r="P570" s="5"/>
      <c r="Q570" s="5"/>
      <c r="R570" s="7"/>
      <c r="S570" s="7"/>
      <c r="T570" s="5"/>
      <c r="U570" s="6"/>
      <c r="V570" s="7"/>
      <c r="W570" s="5"/>
      <c r="X570" s="7"/>
      <c r="Y570" s="7"/>
      <c r="Z570" s="7"/>
      <c r="AA570" s="10"/>
      <c r="AB570" s="11"/>
      <c r="AC570" s="10"/>
      <c r="AD570" s="12"/>
      <c r="AE570" s="12"/>
      <c r="AF570" s="12"/>
      <c r="AG570" s="7"/>
      <c r="AH570" s="7"/>
      <c r="AI570" s="5" t="s">
        <v>1802</v>
      </c>
    </row>
    <row r="571" customFormat="false" ht="15" hidden="false" customHeight="false" outlineLevel="0" collapsed="false">
      <c r="A571" s="5" t="s">
        <v>730</v>
      </c>
      <c r="B571" s="5" t="s">
        <v>1803</v>
      </c>
      <c r="C571" s="5" t="s">
        <v>1804</v>
      </c>
      <c r="D571" s="5" t="s">
        <v>730</v>
      </c>
      <c r="E571" s="5" t="s">
        <v>53</v>
      </c>
      <c r="F571" s="6" t="n">
        <v>23440.33</v>
      </c>
      <c r="G571" s="7" t="n">
        <v>2826</v>
      </c>
      <c r="H571" s="8" t="n">
        <v>1.2017</v>
      </c>
      <c r="I571" s="8" t="n">
        <v>1.8955</v>
      </c>
      <c r="J571" s="7" t="n">
        <v>214</v>
      </c>
      <c r="K571" s="5" t="n">
        <v>15</v>
      </c>
      <c r="L571" s="5" t="n">
        <v>880</v>
      </c>
      <c r="M571" s="5" t="n">
        <v>5</v>
      </c>
      <c r="N571" s="9" t="s">
        <v>54</v>
      </c>
      <c r="O571" s="5"/>
      <c r="P571" s="5"/>
      <c r="Q571" s="5"/>
      <c r="R571" s="7"/>
      <c r="S571" s="7"/>
      <c r="T571" s="5"/>
      <c r="U571" s="6"/>
      <c r="V571" s="7"/>
      <c r="W571" s="5"/>
      <c r="X571" s="7"/>
      <c r="Y571" s="7"/>
      <c r="Z571" s="7"/>
      <c r="AA571" s="10"/>
      <c r="AB571" s="11"/>
      <c r="AC571" s="10"/>
      <c r="AD571" s="12"/>
      <c r="AE571" s="12"/>
      <c r="AF571" s="12"/>
      <c r="AG571" s="7"/>
      <c r="AH571" s="7"/>
      <c r="AI571" s="5" t="s">
        <v>1805</v>
      </c>
    </row>
    <row r="572" customFormat="false" ht="15" hidden="false" customHeight="false" outlineLevel="0" collapsed="false">
      <c r="A572" s="5" t="s">
        <v>730</v>
      </c>
      <c r="B572" s="5" t="s">
        <v>1806</v>
      </c>
      <c r="C572" s="5" t="s">
        <v>1806</v>
      </c>
      <c r="D572" s="5" t="s">
        <v>150</v>
      </c>
      <c r="E572" s="5" t="s">
        <v>60</v>
      </c>
      <c r="F572" s="6" t="n">
        <v>22341.06</v>
      </c>
      <c r="G572" s="7" t="n">
        <v>313</v>
      </c>
      <c r="H572" s="8" t="n">
        <v>0.1536</v>
      </c>
      <c r="I572" s="8" t="n">
        <v>-0.1133</v>
      </c>
      <c r="J572" s="7" t="n">
        <v>112</v>
      </c>
      <c r="K572" s="5" t="n">
        <v>2</v>
      </c>
      <c r="L572" s="5" t="n">
        <v>8</v>
      </c>
      <c r="M572" s="5" t="n">
        <v>4.7</v>
      </c>
      <c r="N572" s="13" t="s">
        <v>61</v>
      </c>
      <c r="O572" s="5"/>
      <c r="P572" s="5"/>
      <c r="Q572" s="5"/>
      <c r="R572" s="7"/>
      <c r="S572" s="7"/>
      <c r="T572" s="5"/>
      <c r="U572" s="6"/>
      <c r="V572" s="7"/>
      <c r="W572" s="5"/>
      <c r="X572" s="7"/>
      <c r="Y572" s="7"/>
      <c r="Z572" s="7"/>
      <c r="AA572" s="10"/>
      <c r="AB572" s="11"/>
      <c r="AC572" s="10"/>
      <c r="AD572" s="12"/>
      <c r="AE572" s="12"/>
      <c r="AF572" s="12"/>
      <c r="AG572" s="7"/>
      <c r="AH572" s="7"/>
      <c r="AI572" s="5" t="s">
        <v>1807</v>
      </c>
    </row>
    <row r="573" customFormat="false" ht="15" hidden="false" customHeight="false" outlineLevel="0" collapsed="false">
      <c r="A573" s="5" t="s">
        <v>730</v>
      </c>
      <c r="B573" s="5" t="s">
        <v>1808</v>
      </c>
      <c r="C573" s="5" t="s">
        <v>1809</v>
      </c>
      <c r="D573" s="5" t="s">
        <v>730</v>
      </c>
      <c r="E573" s="5" t="s">
        <v>60</v>
      </c>
      <c r="F573" s="6" t="n">
        <v>21499.29</v>
      </c>
      <c r="G573" s="7" t="n">
        <v>1287</v>
      </c>
      <c r="H573" s="8" t="n">
        <v>-0.1361</v>
      </c>
      <c r="I573" s="8" t="n">
        <v>-0.4285</v>
      </c>
      <c r="J573" s="7" t="n">
        <v>747</v>
      </c>
      <c r="K573" s="5" t="n">
        <v>15</v>
      </c>
      <c r="L573" s="5" t="n">
        <v>24</v>
      </c>
      <c r="M573" s="5" t="n">
        <v>4.4</v>
      </c>
      <c r="N573" s="9" t="s">
        <v>54</v>
      </c>
      <c r="O573" s="5"/>
      <c r="P573" s="5"/>
      <c r="Q573" s="5"/>
      <c r="R573" s="7"/>
      <c r="S573" s="7"/>
      <c r="T573" s="5"/>
      <c r="U573" s="6"/>
      <c r="V573" s="7"/>
      <c r="W573" s="5"/>
      <c r="X573" s="7"/>
      <c r="Y573" s="7"/>
      <c r="Z573" s="7"/>
      <c r="AA573" s="10"/>
      <c r="AB573" s="11"/>
      <c r="AC573" s="10"/>
      <c r="AD573" s="12"/>
      <c r="AE573" s="12"/>
      <c r="AF573" s="12"/>
      <c r="AG573" s="7"/>
      <c r="AH573" s="7"/>
      <c r="AI573" s="5" t="s">
        <v>1810</v>
      </c>
    </row>
    <row r="574" customFormat="false" ht="15" hidden="false" customHeight="false" outlineLevel="0" collapsed="false">
      <c r="A574" s="5" t="s">
        <v>730</v>
      </c>
      <c r="B574" s="5" t="s">
        <v>1811</v>
      </c>
      <c r="C574" s="5" t="s">
        <v>1812</v>
      </c>
      <c r="D574" s="5" t="s">
        <v>730</v>
      </c>
      <c r="E574" s="5" t="s">
        <v>60</v>
      </c>
      <c r="F574" s="6" t="n">
        <v>21209.75</v>
      </c>
      <c r="G574" s="7" t="n">
        <v>2032</v>
      </c>
      <c r="H574" s="8" t="n">
        <v>-0.6818</v>
      </c>
      <c r="I574" s="8" t="n">
        <v>-0.6512</v>
      </c>
      <c r="J574" s="7" t="n">
        <v>69</v>
      </c>
      <c r="K574" s="5" t="n">
        <v>30</v>
      </c>
      <c r="L574" s="5" t="n">
        <v>59</v>
      </c>
      <c r="M574" s="5" t="n">
        <v>3.5</v>
      </c>
      <c r="N574" s="9" t="s">
        <v>54</v>
      </c>
      <c r="O574" s="5"/>
      <c r="P574" s="5"/>
      <c r="Q574" s="5"/>
      <c r="R574" s="7"/>
      <c r="S574" s="7"/>
      <c r="T574" s="5"/>
      <c r="U574" s="6"/>
      <c r="V574" s="7"/>
      <c r="W574" s="5"/>
      <c r="X574" s="7"/>
      <c r="Y574" s="7"/>
      <c r="Z574" s="7"/>
      <c r="AA574" s="10"/>
      <c r="AB574" s="11"/>
      <c r="AC574" s="10"/>
      <c r="AD574" s="12"/>
      <c r="AE574" s="12"/>
      <c r="AF574" s="12"/>
      <c r="AG574" s="7"/>
      <c r="AH574" s="7"/>
      <c r="AI574" s="5" t="s">
        <v>1813</v>
      </c>
    </row>
    <row r="575" customFormat="false" ht="15" hidden="false" customHeight="false" outlineLevel="0" collapsed="false">
      <c r="A575" s="5" t="s">
        <v>730</v>
      </c>
      <c r="B575" s="5" t="s">
        <v>1814</v>
      </c>
      <c r="C575" s="5"/>
      <c r="D575" s="5" t="s">
        <v>730</v>
      </c>
      <c r="E575" s="5" t="s">
        <v>60</v>
      </c>
      <c r="F575" s="6" t="n">
        <v>20592.47</v>
      </c>
      <c r="G575" s="7" t="n">
        <v>799</v>
      </c>
      <c r="H575" s="8" t="n">
        <v>0.0246</v>
      </c>
      <c r="I575" s="8" t="n">
        <v>-0.2412</v>
      </c>
      <c r="J575" s="7" t="n">
        <v>35</v>
      </c>
      <c r="K575" s="5" t="n">
        <v>4</v>
      </c>
      <c r="L575" s="5" t="n">
        <v>5</v>
      </c>
      <c r="M575" s="5" t="n">
        <v>3.9</v>
      </c>
      <c r="N575" s="9" t="s">
        <v>54</v>
      </c>
      <c r="O575" s="5"/>
      <c r="P575" s="5"/>
      <c r="Q575" s="5"/>
      <c r="R575" s="7"/>
      <c r="S575" s="7"/>
      <c r="T575" s="5"/>
      <c r="U575" s="6"/>
      <c r="V575" s="7"/>
      <c r="W575" s="5"/>
      <c r="X575" s="7"/>
      <c r="Y575" s="7"/>
      <c r="Z575" s="7"/>
      <c r="AA575" s="10"/>
      <c r="AB575" s="11"/>
      <c r="AC575" s="10"/>
      <c r="AD575" s="12"/>
      <c r="AE575" s="12"/>
      <c r="AF575" s="12"/>
      <c r="AG575" s="7"/>
      <c r="AH575" s="7"/>
      <c r="AI575" s="5" t="s">
        <v>1815</v>
      </c>
    </row>
    <row r="576" customFormat="false" ht="15" hidden="false" customHeight="false" outlineLevel="0" collapsed="false">
      <c r="A576" s="5" t="s">
        <v>730</v>
      </c>
      <c r="B576" s="5" t="s">
        <v>1816</v>
      </c>
      <c r="C576" s="5" t="s">
        <v>1817</v>
      </c>
      <c r="D576" s="5" t="s">
        <v>730</v>
      </c>
      <c r="E576" s="5" t="s">
        <v>60</v>
      </c>
      <c r="F576" s="6" t="n">
        <v>20483.66</v>
      </c>
      <c r="G576" s="7" t="n">
        <v>2280</v>
      </c>
      <c r="H576" s="8" t="n">
        <v>0.8848</v>
      </c>
      <c r="I576" s="8" t="n">
        <v>0.6297</v>
      </c>
      <c r="J576" s="7" t="n">
        <v>88</v>
      </c>
      <c r="K576" s="5" t="n">
        <v>23</v>
      </c>
      <c r="L576" s="5" t="n">
        <v>52</v>
      </c>
      <c r="M576" s="5" t="n">
        <v>4.1</v>
      </c>
      <c r="N576" s="9" t="s">
        <v>54</v>
      </c>
      <c r="O576" s="5"/>
      <c r="P576" s="5"/>
      <c r="Q576" s="5"/>
      <c r="R576" s="7"/>
      <c r="S576" s="7"/>
      <c r="T576" s="5"/>
      <c r="U576" s="6"/>
      <c r="V576" s="7"/>
      <c r="W576" s="5"/>
      <c r="X576" s="7"/>
      <c r="Y576" s="7"/>
      <c r="Z576" s="7"/>
      <c r="AA576" s="10"/>
      <c r="AB576" s="11"/>
      <c r="AC576" s="10"/>
      <c r="AD576" s="12"/>
      <c r="AE576" s="12"/>
      <c r="AF576" s="12"/>
      <c r="AG576" s="7"/>
      <c r="AH576" s="7"/>
      <c r="AI576" s="5" t="s">
        <v>1818</v>
      </c>
    </row>
    <row r="577" customFormat="false" ht="15" hidden="false" customHeight="false" outlineLevel="0" collapsed="false">
      <c r="A577" s="5" t="s">
        <v>730</v>
      </c>
      <c r="B577" s="5" t="s">
        <v>1819</v>
      </c>
      <c r="C577" s="5"/>
      <c r="D577" s="5" t="s">
        <v>730</v>
      </c>
      <c r="E577" s="5" t="s">
        <v>53</v>
      </c>
      <c r="F577" s="6" t="n">
        <v>20215.32</v>
      </c>
      <c r="G577" s="7" t="n">
        <v>1245</v>
      </c>
      <c r="H577" s="8" t="n">
        <v>0.1302</v>
      </c>
      <c r="I577" s="8" t="n">
        <v>0.1657</v>
      </c>
      <c r="J577" s="7" t="n">
        <v>341</v>
      </c>
      <c r="K577" s="5" t="n">
        <v>33</v>
      </c>
      <c r="L577" s="5" t="n">
        <v>170</v>
      </c>
      <c r="M577" s="5" t="n">
        <v>3.9</v>
      </c>
      <c r="N577" s="9" t="s">
        <v>54</v>
      </c>
      <c r="O577" s="5"/>
      <c r="P577" s="5"/>
      <c r="Q577" s="5"/>
      <c r="R577" s="7"/>
      <c r="S577" s="7"/>
      <c r="T577" s="5"/>
      <c r="U577" s="6"/>
      <c r="V577" s="7"/>
      <c r="W577" s="5"/>
      <c r="X577" s="7"/>
      <c r="Y577" s="7"/>
      <c r="Z577" s="7"/>
      <c r="AA577" s="10"/>
      <c r="AB577" s="11"/>
      <c r="AC577" s="10"/>
      <c r="AD577" s="12"/>
      <c r="AE577" s="12"/>
      <c r="AF577" s="12"/>
      <c r="AG577" s="7"/>
      <c r="AH577" s="7"/>
      <c r="AI577" s="5" t="s">
        <v>1820</v>
      </c>
    </row>
    <row r="578" customFormat="false" ht="15" hidden="false" customHeight="false" outlineLevel="0" collapsed="false">
      <c r="A578" s="5" t="s">
        <v>730</v>
      </c>
      <c r="B578" s="5" t="s">
        <v>1821</v>
      </c>
      <c r="C578" s="5"/>
      <c r="D578" s="5" t="s">
        <v>730</v>
      </c>
      <c r="E578" s="5" t="s">
        <v>60</v>
      </c>
      <c r="F578" s="6" t="n">
        <v>19909.86</v>
      </c>
      <c r="G578" s="7" t="n">
        <v>1137</v>
      </c>
      <c r="H578" s="8" t="n">
        <v>20.0024</v>
      </c>
      <c r="I578" s="8" t="n">
        <v>19.6727</v>
      </c>
      <c r="J578" s="7" t="n">
        <v>121</v>
      </c>
      <c r="K578" s="5" t="n">
        <v>3</v>
      </c>
      <c r="L578" s="5" t="n">
        <v>12</v>
      </c>
      <c r="M578" s="5" t="n">
        <v>3.9</v>
      </c>
      <c r="N578" s="9" t="s">
        <v>54</v>
      </c>
      <c r="O578" s="5"/>
      <c r="P578" s="5"/>
      <c r="Q578" s="5"/>
      <c r="R578" s="7"/>
      <c r="S578" s="7"/>
      <c r="T578" s="5"/>
      <c r="U578" s="6"/>
      <c r="V578" s="7"/>
      <c r="W578" s="5"/>
      <c r="X578" s="7"/>
      <c r="Y578" s="7"/>
      <c r="Z578" s="7"/>
      <c r="AA578" s="10"/>
      <c r="AB578" s="11"/>
      <c r="AC578" s="10"/>
      <c r="AD578" s="12"/>
      <c r="AE578" s="12"/>
      <c r="AF578" s="12"/>
      <c r="AG578" s="7"/>
      <c r="AH578" s="7"/>
      <c r="AI578" s="5" t="s">
        <v>1822</v>
      </c>
    </row>
    <row r="579" customFormat="false" ht="15" hidden="false" customHeight="false" outlineLevel="0" collapsed="false">
      <c r="A579" s="5" t="s">
        <v>730</v>
      </c>
      <c r="B579" s="5" t="s">
        <v>1823</v>
      </c>
      <c r="C579" s="5"/>
      <c r="D579" s="5" t="s">
        <v>730</v>
      </c>
      <c r="E579" s="5" t="s">
        <v>53</v>
      </c>
      <c r="F579" s="6" t="n">
        <v>19575.78</v>
      </c>
      <c r="G579" s="7" t="n">
        <v>1033</v>
      </c>
      <c r="H579" s="8" t="n">
        <v>0.9533</v>
      </c>
      <c r="I579" s="8" t="n">
        <v>0.8446</v>
      </c>
      <c r="J579" s="7" t="n">
        <v>311</v>
      </c>
      <c r="K579" s="5" t="n">
        <v>11</v>
      </c>
      <c r="L579" s="5" t="n">
        <v>40</v>
      </c>
      <c r="M579" s="5" t="n">
        <v>4.4</v>
      </c>
      <c r="N579" s="9" t="s">
        <v>54</v>
      </c>
      <c r="O579" s="5"/>
      <c r="P579" s="5"/>
      <c r="Q579" s="5"/>
      <c r="R579" s="7"/>
      <c r="S579" s="7"/>
      <c r="T579" s="5"/>
      <c r="U579" s="6"/>
      <c r="V579" s="7"/>
      <c r="W579" s="5"/>
      <c r="X579" s="7"/>
      <c r="Y579" s="7"/>
      <c r="Z579" s="7"/>
      <c r="AA579" s="10"/>
      <c r="AB579" s="11"/>
      <c r="AC579" s="10"/>
      <c r="AD579" s="12"/>
      <c r="AE579" s="12"/>
      <c r="AF579" s="12"/>
      <c r="AG579" s="7"/>
      <c r="AH579" s="7"/>
      <c r="AI579" s="5" t="s">
        <v>1824</v>
      </c>
    </row>
    <row r="580" customFormat="false" ht="15" hidden="false" customHeight="false" outlineLevel="0" collapsed="false">
      <c r="A580" s="5" t="s">
        <v>730</v>
      </c>
      <c r="B580" s="5" t="s">
        <v>1825</v>
      </c>
      <c r="C580" s="5" t="s">
        <v>1826</v>
      </c>
      <c r="D580" s="5" t="s">
        <v>730</v>
      </c>
      <c r="E580" s="5" t="s">
        <v>60</v>
      </c>
      <c r="F580" s="6" t="n">
        <v>19549.6</v>
      </c>
      <c r="G580" s="7" t="n">
        <v>830</v>
      </c>
      <c r="H580" s="8" t="n">
        <v>6.2304</v>
      </c>
      <c r="I580" s="8" t="n">
        <v>4.2866</v>
      </c>
      <c r="J580" s="7" t="n">
        <v>0</v>
      </c>
      <c r="K580" s="5" t="n">
        <v>11</v>
      </c>
      <c r="L580" s="5" t="n">
        <v>31</v>
      </c>
      <c r="M580" s="5" t="n">
        <v>4.4</v>
      </c>
      <c r="N580" s="9" t="s">
        <v>54</v>
      </c>
      <c r="O580" s="5"/>
      <c r="P580" s="5"/>
      <c r="Q580" s="5"/>
      <c r="R580" s="7"/>
      <c r="S580" s="7"/>
      <c r="T580" s="5"/>
      <c r="U580" s="6"/>
      <c r="V580" s="7"/>
      <c r="W580" s="5"/>
      <c r="X580" s="7"/>
      <c r="Y580" s="7"/>
      <c r="Z580" s="7"/>
      <c r="AA580" s="10"/>
      <c r="AB580" s="11"/>
      <c r="AC580" s="10"/>
      <c r="AD580" s="12"/>
      <c r="AE580" s="12"/>
      <c r="AF580" s="12"/>
      <c r="AG580" s="7"/>
      <c r="AH580" s="7"/>
      <c r="AI580" s="5" t="s">
        <v>1827</v>
      </c>
    </row>
    <row r="581" customFormat="false" ht="15" hidden="false" customHeight="false" outlineLevel="0" collapsed="false">
      <c r="A581" s="5" t="s">
        <v>730</v>
      </c>
      <c r="B581" s="5" t="s">
        <v>1828</v>
      </c>
      <c r="C581" s="5" t="s">
        <v>1829</v>
      </c>
      <c r="D581" s="5" t="s">
        <v>730</v>
      </c>
      <c r="E581" s="5" t="s">
        <v>60</v>
      </c>
      <c r="F581" s="6" t="n">
        <v>19333.65</v>
      </c>
      <c r="G581" s="7" t="n">
        <v>1083</v>
      </c>
      <c r="H581" s="8" t="n">
        <v>0.9221</v>
      </c>
      <c r="I581" s="8" t="n">
        <v>0.4479</v>
      </c>
      <c r="J581" s="7" t="n">
        <v>696</v>
      </c>
      <c r="K581" s="5" t="n">
        <v>35</v>
      </c>
      <c r="L581" s="5" t="n">
        <v>61</v>
      </c>
      <c r="M581" s="5" t="n">
        <v>3.9</v>
      </c>
      <c r="N581" s="9" t="s">
        <v>54</v>
      </c>
      <c r="O581" s="5"/>
      <c r="P581" s="5" t="s">
        <v>1830</v>
      </c>
      <c r="Q581" s="14" t="s">
        <v>1831</v>
      </c>
      <c r="R581" s="7" t="n">
        <v>1640</v>
      </c>
      <c r="S581" s="7" t="n">
        <v>420</v>
      </c>
      <c r="T581" s="5" t="s">
        <v>1832</v>
      </c>
      <c r="U581" s="6" t="n">
        <v>143741.5</v>
      </c>
      <c r="V581" s="7" t="n">
        <v>13475</v>
      </c>
      <c r="W581" s="5" t="n">
        <v>79</v>
      </c>
      <c r="X581" s="7" t="n">
        <v>393</v>
      </c>
      <c r="Y581" s="7" t="n">
        <v>1685</v>
      </c>
      <c r="Z581" s="7" t="n">
        <v>686</v>
      </c>
      <c r="AA581" s="10" t="n">
        <v>6.29</v>
      </c>
      <c r="AB581" s="11" t="n">
        <v>67.77</v>
      </c>
      <c r="AC581" s="10" t="n">
        <v>12.43</v>
      </c>
      <c r="AD581" s="12" t="n">
        <v>0.81</v>
      </c>
      <c r="AE581" s="12" t="n">
        <v>0.92</v>
      </c>
      <c r="AF581" s="12" t="n">
        <v>1</v>
      </c>
      <c r="AG581" s="7" t="n">
        <v>70</v>
      </c>
      <c r="AH581" s="7" t="n">
        <v>2280</v>
      </c>
      <c r="AI581" s="5" t="s">
        <v>1833</v>
      </c>
    </row>
    <row r="582" customFormat="false" ht="15" hidden="false" customHeight="false" outlineLevel="0" collapsed="false">
      <c r="A582" s="5" t="s">
        <v>730</v>
      </c>
      <c r="B582" s="5" t="s">
        <v>1834</v>
      </c>
      <c r="C582" s="5" t="s">
        <v>1834</v>
      </c>
      <c r="D582" s="5" t="s">
        <v>730</v>
      </c>
      <c r="E582" s="5" t="s">
        <v>60</v>
      </c>
      <c r="F582" s="6" t="n">
        <v>19311.88</v>
      </c>
      <c r="G582" s="7" t="n">
        <v>2806</v>
      </c>
      <c r="H582" s="8" t="n">
        <v>0.6591</v>
      </c>
      <c r="I582" s="8" t="n">
        <v>0.2296</v>
      </c>
      <c r="J582" s="7" t="n">
        <v>33</v>
      </c>
      <c r="K582" s="5" t="n">
        <v>14</v>
      </c>
      <c r="L582" s="5" t="n">
        <v>21</v>
      </c>
      <c r="M582" s="5" t="n">
        <v>4.7</v>
      </c>
      <c r="N582" s="9" t="s">
        <v>54</v>
      </c>
      <c r="O582" s="5"/>
      <c r="P582" s="5"/>
      <c r="Q582" s="5"/>
      <c r="R582" s="7"/>
      <c r="S582" s="7"/>
      <c r="T582" s="5"/>
      <c r="U582" s="6"/>
      <c r="V582" s="7"/>
      <c r="W582" s="5"/>
      <c r="X582" s="7"/>
      <c r="Y582" s="7"/>
      <c r="Z582" s="7"/>
      <c r="AA582" s="10"/>
      <c r="AB582" s="11"/>
      <c r="AC582" s="10"/>
      <c r="AD582" s="12"/>
      <c r="AE582" s="12"/>
      <c r="AF582" s="12"/>
      <c r="AG582" s="7"/>
      <c r="AH582" s="7"/>
      <c r="AI582" s="5" t="s">
        <v>1835</v>
      </c>
    </row>
    <row r="583" customFormat="false" ht="15" hidden="false" customHeight="false" outlineLevel="0" collapsed="false">
      <c r="A583" s="5" t="s">
        <v>730</v>
      </c>
      <c r="B583" s="5" t="s">
        <v>1836</v>
      </c>
      <c r="C583" s="5" t="s">
        <v>1837</v>
      </c>
      <c r="D583" s="5" t="s">
        <v>730</v>
      </c>
      <c r="E583" s="5" t="s">
        <v>60</v>
      </c>
      <c r="F583" s="6" t="n">
        <v>19103.69</v>
      </c>
      <c r="G583" s="7" t="n">
        <v>2207</v>
      </c>
      <c r="H583" s="8" t="n">
        <v>0.9832</v>
      </c>
      <c r="I583" s="8" t="n">
        <v>0.6519</v>
      </c>
      <c r="J583" s="7" t="n">
        <v>537</v>
      </c>
      <c r="K583" s="5" t="n">
        <v>30</v>
      </c>
      <c r="L583" s="5" t="n">
        <v>70</v>
      </c>
      <c r="M583" s="5" t="n">
        <v>4.3</v>
      </c>
      <c r="N583" s="9" t="s">
        <v>54</v>
      </c>
      <c r="O583" s="5"/>
      <c r="P583" s="5" t="s">
        <v>1838</v>
      </c>
      <c r="Q583" s="14" t="s">
        <v>1839</v>
      </c>
      <c r="R583" s="7" t="n">
        <v>8393</v>
      </c>
      <c r="S583" s="7" t="n">
        <v>1054</v>
      </c>
      <c r="T583" s="5" t="s">
        <v>1840</v>
      </c>
      <c r="U583" s="6" t="n">
        <v>286096.76</v>
      </c>
      <c r="V583" s="7" t="n">
        <v>35176</v>
      </c>
      <c r="W583" s="5" t="n">
        <v>88</v>
      </c>
      <c r="X583" s="7" t="n">
        <v>1296</v>
      </c>
      <c r="Y583" s="7" t="n">
        <v>3138</v>
      </c>
      <c r="Z583" s="7" t="n">
        <v>1905</v>
      </c>
      <c r="AA583" s="10" t="n">
        <v>2.4</v>
      </c>
      <c r="AB583" s="11" t="n">
        <v>165.99</v>
      </c>
      <c r="AC583" s="10" t="n">
        <v>10.44</v>
      </c>
      <c r="AD583" s="12" t="n">
        <v>0.79</v>
      </c>
      <c r="AE583" s="12" t="n">
        <v>0.89</v>
      </c>
      <c r="AF583" s="12" t="n">
        <v>0.98</v>
      </c>
      <c r="AG583" s="7" t="n">
        <v>73</v>
      </c>
      <c r="AH583" s="7" t="n">
        <v>2313</v>
      </c>
      <c r="AI583" s="5" t="s">
        <v>1841</v>
      </c>
    </row>
    <row r="584" customFormat="false" ht="15" hidden="false" customHeight="false" outlineLevel="0" collapsed="false">
      <c r="A584" s="5" t="s">
        <v>730</v>
      </c>
      <c r="B584" s="5" t="s">
        <v>1842</v>
      </c>
      <c r="C584" s="5"/>
      <c r="D584" s="5" t="s">
        <v>730</v>
      </c>
      <c r="E584" s="5" t="s">
        <v>53</v>
      </c>
      <c r="F584" s="6" t="n">
        <v>18697.29</v>
      </c>
      <c r="G584" s="7" t="n">
        <v>2432</v>
      </c>
      <c r="H584" s="8" t="n">
        <v>0.3047</v>
      </c>
      <c r="I584" s="8" t="n">
        <v>0.3564</v>
      </c>
      <c r="J584" s="7" t="n">
        <v>149</v>
      </c>
      <c r="K584" s="5" t="n">
        <v>23</v>
      </c>
      <c r="L584" s="5" t="n">
        <v>250</v>
      </c>
      <c r="M584" s="5" t="n">
        <v>4.7</v>
      </c>
      <c r="N584" s="9" t="s">
        <v>54</v>
      </c>
      <c r="O584" s="5"/>
      <c r="P584" s="5"/>
      <c r="Q584" s="5"/>
      <c r="R584" s="7"/>
      <c r="S584" s="7"/>
      <c r="T584" s="5"/>
      <c r="U584" s="6"/>
      <c r="V584" s="7"/>
      <c r="W584" s="5"/>
      <c r="X584" s="7"/>
      <c r="Y584" s="7"/>
      <c r="Z584" s="7"/>
      <c r="AA584" s="10"/>
      <c r="AB584" s="11"/>
      <c r="AC584" s="10"/>
      <c r="AD584" s="12"/>
      <c r="AE584" s="12"/>
      <c r="AF584" s="12"/>
      <c r="AG584" s="7"/>
      <c r="AH584" s="7"/>
      <c r="AI584" s="5" t="s">
        <v>1843</v>
      </c>
    </row>
    <row r="585" customFormat="false" ht="15" hidden="false" customHeight="false" outlineLevel="0" collapsed="false">
      <c r="A585" s="5" t="s">
        <v>730</v>
      </c>
      <c r="B585" s="5" t="s">
        <v>1844</v>
      </c>
      <c r="C585" s="5"/>
      <c r="D585" s="5" t="s">
        <v>730</v>
      </c>
      <c r="E585" s="5" t="s">
        <v>53</v>
      </c>
      <c r="F585" s="6" t="n">
        <v>18217.99</v>
      </c>
      <c r="G585" s="7" t="n">
        <v>2396</v>
      </c>
      <c r="H585" s="8" t="n">
        <v>-0.2706</v>
      </c>
      <c r="I585" s="8" t="n">
        <v>-0.3164</v>
      </c>
      <c r="J585" s="7" t="n">
        <v>1342</v>
      </c>
      <c r="K585" s="5" t="n">
        <v>69</v>
      </c>
      <c r="L585" s="5" t="n">
        <v>213</v>
      </c>
      <c r="M585" s="5" t="n">
        <v>4.7</v>
      </c>
      <c r="N585" s="9" t="s">
        <v>54</v>
      </c>
      <c r="O585" s="5"/>
      <c r="P585" s="5"/>
      <c r="Q585" s="5"/>
      <c r="R585" s="7"/>
      <c r="S585" s="7"/>
      <c r="T585" s="5"/>
      <c r="U585" s="6"/>
      <c r="V585" s="7"/>
      <c r="W585" s="5"/>
      <c r="X585" s="7"/>
      <c r="Y585" s="7"/>
      <c r="Z585" s="7"/>
      <c r="AA585" s="10"/>
      <c r="AB585" s="11"/>
      <c r="AC585" s="10"/>
      <c r="AD585" s="12"/>
      <c r="AE585" s="12"/>
      <c r="AF585" s="12"/>
      <c r="AG585" s="7"/>
      <c r="AH585" s="7"/>
      <c r="AI585" s="5" t="s">
        <v>1845</v>
      </c>
    </row>
    <row r="586" customFormat="false" ht="15" hidden="false" customHeight="false" outlineLevel="0" collapsed="false">
      <c r="A586" s="5" t="s">
        <v>730</v>
      </c>
      <c r="B586" s="5" t="s">
        <v>1846</v>
      </c>
      <c r="C586" s="5" t="s">
        <v>1847</v>
      </c>
      <c r="D586" s="5" t="s">
        <v>730</v>
      </c>
      <c r="E586" s="5" t="s">
        <v>60</v>
      </c>
      <c r="F586" s="6" t="n">
        <v>18114.63</v>
      </c>
      <c r="G586" s="7" t="n">
        <v>1704</v>
      </c>
      <c r="H586" s="8" t="n">
        <v>0.6354</v>
      </c>
      <c r="I586" s="8" t="n">
        <v>0.7994</v>
      </c>
      <c r="J586" s="7" t="n">
        <v>1220</v>
      </c>
      <c r="K586" s="5" t="n">
        <v>58</v>
      </c>
      <c r="L586" s="5" t="n">
        <v>122</v>
      </c>
      <c r="M586" s="5" t="n">
        <v>4.2</v>
      </c>
      <c r="N586" s="9" t="s">
        <v>54</v>
      </c>
      <c r="O586" s="5"/>
      <c r="P586" s="5" t="s">
        <v>1848</v>
      </c>
      <c r="Q586" s="14" t="s">
        <v>1849</v>
      </c>
      <c r="R586" s="7" t="n">
        <v>2142</v>
      </c>
      <c r="S586" s="7" t="n">
        <v>748</v>
      </c>
      <c r="T586" s="5" t="s">
        <v>804</v>
      </c>
      <c r="U586" s="6" t="n">
        <v>200754.45</v>
      </c>
      <c r="V586" s="7" t="n">
        <v>20536</v>
      </c>
      <c r="W586" s="5" t="n">
        <v>235</v>
      </c>
      <c r="X586" s="7" t="n">
        <v>587</v>
      </c>
      <c r="Y586" s="7" t="n">
        <v>1771</v>
      </c>
      <c r="Z586" s="7" t="n">
        <v>694</v>
      </c>
      <c r="AA586" s="10" t="n">
        <v>0.94</v>
      </c>
      <c r="AB586" s="11" t="n">
        <v>99.99</v>
      </c>
      <c r="AC586" s="10" t="n">
        <v>12.26</v>
      </c>
      <c r="AD586" s="12" t="n">
        <v>0.9</v>
      </c>
      <c r="AE586" s="12" t="n">
        <v>0.88</v>
      </c>
      <c r="AF586" s="12" t="n">
        <v>0.98</v>
      </c>
      <c r="AG586" s="7" t="n">
        <v>68</v>
      </c>
      <c r="AH586" s="7" t="n">
        <v>2261</v>
      </c>
      <c r="AI586" s="5" t="s">
        <v>1850</v>
      </c>
    </row>
    <row r="587" customFormat="false" ht="15" hidden="false" customHeight="false" outlineLevel="0" collapsed="false">
      <c r="A587" s="5" t="s">
        <v>730</v>
      </c>
      <c r="B587" s="5" t="s">
        <v>1851</v>
      </c>
      <c r="C587" s="5" t="s">
        <v>1852</v>
      </c>
      <c r="D587" s="5" t="s">
        <v>730</v>
      </c>
      <c r="E587" s="5" t="s">
        <v>60</v>
      </c>
      <c r="F587" s="6" t="n">
        <v>17995.6</v>
      </c>
      <c r="G587" s="7" t="n">
        <v>1549</v>
      </c>
      <c r="H587" s="8" t="n">
        <v>-0.3672</v>
      </c>
      <c r="I587" s="8" t="n">
        <v>-0.4553</v>
      </c>
      <c r="J587" s="7" t="n">
        <v>167</v>
      </c>
      <c r="K587" s="5" t="n">
        <v>17</v>
      </c>
      <c r="L587" s="5" t="n">
        <v>158</v>
      </c>
      <c r="M587" s="5" t="n">
        <v>4.2</v>
      </c>
      <c r="N587" s="9" t="s">
        <v>54</v>
      </c>
      <c r="O587" s="5"/>
      <c r="P587" s="5"/>
      <c r="Q587" s="5"/>
      <c r="R587" s="7"/>
      <c r="S587" s="7"/>
      <c r="T587" s="5"/>
      <c r="U587" s="6"/>
      <c r="V587" s="7"/>
      <c r="W587" s="5"/>
      <c r="X587" s="7"/>
      <c r="Y587" s="7"/>
      <c r="Z587" s="7"/>
      <c r="AA587" s="10"/>
      <c r="AB587" s="11"/>
      <c r="AC587" s="10"/>
      <c r="AD587" s="12"/>
      <c r="AE587" s="12"/>
      <c r="AF587" s="12"/>
      <c r="AG587" s="7"/>
      <c r="AH587" s="7"/>
      <c r="AI587" s="5" t="s">
        <v>1853</v>
      </c>
    </row>
    <row r="588" customFormat="false" ht="15" hidden="false" customHeight="false" outlineLevel="0" collapsed="false">
      <c r="A588" s="5" t="s">
        <v>730</v>
      </c>
      <c r="B588" s="5" t="s">
        <v>1854</v>
      </c>
      <c r="C588" s="5" t="s">
        <v>1855</v>
      </c>
      <c r="D588" s="5" t="s">
        <v>730</v>
      </c>
      <c r="E588" s="5" t="s">
        <v>60</v>
      </c>
      <c r="F588" s="6" t="n">
        <v>17819.4</v>
      </c>
      <c r="G588" s="7" t="n">
        <v>581</v>
      </c>
      <c r="H588" s="8" t="n">
        <v>-0.3905</v>
      </c>
      <c r="I588" s="8" t="n">
        <v>-0.4424</v>
      </c>
      <c r="J588" s="7" t="n">
        <v>20</v>
      </c>
      <c r="K588" s="5" t="n">
        <v>11</v>
      </c>
      <c r="L588" s="5" t="n">
        <v>43</v>
      </c>
      <c r="M588" s="5" t="n">
        <v>4</v>
      </c>
      <c r="N588" s="9" t="s">
        <v>54</v>
      </c>
      <c r="O588" s="5"/>
      <c r="P588" s="5"/>
      <c r="Q588" s="5"/>
      <c r="R588" s="7"/>
      <c r="S588" s="7"/>
      <c r="T588" s="5"/>
      <c r="U588" s="6"/>
      <c r="V588" s="7"/>
      <c r="W588" s="5"/>
      <c r="X588" s="7"/>
      <c r="Y588" s="7"/>
      <c r="Z588" s="7"/>
      <c r="AA588" s="10"/>
      <c r="AB588" s="11"/>
      <c r="AC588" s="10"/>
      <c r="AD588" s="12"/>
      <c r="AE588" s="12"/>
      <c r="AF588" s="12"/>
      <c r="AG588" s="7"/>
      <c r="AH588" s="7"/>
      <c r="AI588" s="5" t="s">
        <v>1856</v>
      </c>
    </row>
    <row r="589" customFormat="false" ht="15" hidden="false" customHeight="false" outlineLevel="0" collapsed="false">
      <c r="A589" s="5" t="s">
        <v>730</v>
      </c>
      <c r="B589" s="5" t="s">
        <v>1857</v>
      </c>
      <c r="C589" s="5" t="s">
        <v>1858</v>
      </c>
      <c r="D589" s="5" t="s">
        <v>730</v>
      </c>
      <c r="E589" s="5" t="s">
        <v>53</v>
      </c>
      <c r="F589" s="6" t="n">
        <v>17503.27</v>
      </c>
      <c r="G589" s="7" t="n">
        <v>1080</v>
      </c>
      <c r="H589" s="8" t="n">
        <v>-0.1242</v>
      </c>
      <c r="I589" s="8" t="n">
        <v>-0.1462</v>
      </c>
      <c r="J589" s="7" t="n">
        <v>200</v>
      </c>
      <c r="K589" s="5" t="n">
        <v>62</v>
      </c>
      <c r="L589" s="5" t="n">
        <v>987</v>
      </c>
      <c r="M589" s="5" t="n">
        <v>4.1</v>
      </c>
      <c r="N589" s="9" t="s">
        <v>54</v>
      </c>
      <c r="O589" s="5"/>
      <c r="P589" s="5"/>
      <c r="Q589" s="5"/>
      <c r="R589" s="7"/>
      <c r="S589" s="7"/>
      <c r="T589" s="5"/>
      <c r="U589" s="6"/>
      <c r="V589" s="7"/>
      <c r="W589" s="5"/>
      <c r="X589" s="7"/>
      <c r="Y589" s="7"/>
      <c r="Z589" s="7"/>
      <c r="AA589" s="10"/>
      <c r="AB589" s="11"/>
      <c r="AC589" s="10"/>
      <c r="AD589" s="12"/>
      <c r="AE589" s="12"/>
      <c r="AF589" s="12"/>
      <c r="AG589" s="7"/>
      <c r="AH589" s="7"/>
      <c r="AI589" s="5" t="s">
        <v>1859</v>
      </c>
    </row>
    <row r="590" customFormat="false" ht="15" hidden="false" customHeight="false" outlineLevel="0" collapsed="false">
      <c r="A590" s="5" t="s">
        <v>730</v>
      </c>
      <c r="B590" s="5" t="s">
        <v>1860</v>
      </c>
      <c r="C590" s="5"/>
      <c r="D590" s="5" t="s">
        <v>730</v>
      </c>
      <c r="E590" s="5" t="s">
        <v>60</v>
      </c>
      <c r="F590" s="6" t="n">
        <v>16929.6</v>
      </c>
      <c r="G590" s="7" t="n">
        <v>258</v>
      </c>
      <c r="H590" s="8" t="n">
        <v>-0.0733</v>
      </c>
      <c r="I590" s="8" t="n">
        <v>-0.1731</v>
      </c>
      <c r="J590" s="7" t="n">
        <v>14</v>
      </c>
      <c r="K590" s="5" t="n">
        <v>13</v>
      </c>
      <c r="L590" s="5" t="n">
        <v>71</v>
      </c>
      <c r="M590" s="5" t="n">
        <v>4.4</v>
      </c>
      <c r="N590" s="9" t="s">
        <v>54</v>
      </c>
      <c r="O590" s="5"/>
      <c r="P590" s="5"/>
      <c r="Q590" s="5"/>
      <c r="R590" s="7"/>
      <c r="S590" s="7"/>
      <c r="T590" s="5"/>
      <c r="U590" s="6"/>
      <c r="V590" s="7"/>
      <c r="W590" s="5"/>
      <c r="X590" s="7"/>
      <c r="Y590" s="7"/>
      <c r="Z590" s="7"/>
      <c r="AA590" s="10"/>
      <c r="AB590" s="11"/>
      <c r="AC590" s="10"/>
      <c r="AD590" s="12"/>
      <c r="AE590" s="12"/>
      <c r="AF590" s="12"/>
      <c r="AG590" s="7"/>
      <c r="AH590" s="7"/>
      <c r="AI590" s="5" t="s">
        <v>1861</v>
      </c>
    </row>
    <row r="591" customFormat="false" ht="15" hidden="false" customHeight="false" outlineLevel="0" collapsed="false">
      <c r="A591" s="5" t="s">
        <v>730</v>
      </c>
      <c r="B591" s="5" t="s">
        <v>1862</v>
      </c>
      <c r="C591" s="5" t="s">
        <v>1863</v>
      </c>
      <c r="D591" s="5" t="s">
        <v>730</v>
      </c>
      <c r="E591" s="5" t="s">
        <v>60</v>
      </c>
      <c r="F591" s="6" t="n">
        <v>16924.75</v>
      </c>
      <c r="G591" s="7" t="n">
        <v>1135</v>
      </c>
      <c r="H591" s="8" t="n">
        <v>3.8981</v>
      </c>
      <c r="I591" s="8" t="n">
        <v>3.0827</v>
      </c>
      <c r="J591" s="7" t="n">
        <v>40</v>
      </c>
      <c r="K591" s="5" t="n">
        <v>19</v>
      </c>
      <c r="L591" s="5" t="n">
        <v>47</v>
      </c>
      <c r="M591" s="5" t="n">
        <v>4.6</v>
      </c>
      <c r="N591" s="9" t="s">
        <v>54</v>
      </c>
      <c r="O591" s="5"/>
      <c r="P591" s="5"/>
      <c r="Q591" s="5"/>
      <c r="R591" s="7"/>
      <c r="S591" s="7"/>
      <c r="T591" s="5"/>
      <c r="U591" s="6"/>
      <c r="V591" s="7"/>
      <c r="W591" s="5"/>
      <c r="X591" s="7"/>
      <c r="Y591" s="7"/>
      <c r="Z591" s="7"/>
      <c r="AA591" s="10"/>
      <c r="AB591" s="11"/>
      <c r="AC591" s="10"/>
      <c r="AD591" s="12"/>
      <c r="AE591" s="12"/>
      <c r="AF591" s="12"/>
      <c r="AG591" s="7"/>
      <c r="AH591" s="7"/>
      <c r="AI591" s="5" t="s">
        <v>1864</v>
      </c>
    </row>
    <row r="592" customFormat="false" ht="15" hidden="false" customHeight="false" outlineLevel="0" collapsed="false">
      <c r="A592" s="5" t="s">
        <v>730</v>
      </c>
      <c r="B592" s="5" t="s">
        <v>1865</v>
      </c>
      <c r="C592" s="5"/>
      <c r="D592" s="5" t="s">
        <v>730</v>
      </c>
      <c r="E592" s="5" t="s">
        <v>53</v>
      </c>
      <c r="F592" s="6" t="n">
        <v>16921.99</v>
      </c>
      <c r="G592" s="7" t="n">
        <v>2191</v>
      </c>
      <c r="H592" s="8" t="n">
        <v>0.3977</v>
      </c>
      <c r="I592" s="8" t="n">
        <v>0.3797</v>
      </c>
      <c r="J592" s="7" t="n">
        <v>65</v>
      </c>
      <c r="K592" s="5" t="n">
        <v>26</v>
      </c>
      <c r="L592" s="5" t="n">
        <v>133</v>
      </c>
      <c r="M592" s="5" t="n">
        <v>4.5</v>
      </c>
      <c r="N592" s="9" t="s">
        <v>54</v>
      </c>
      <c r="O592" s="5"/>
      <c r="P592" s="5"/>
      <c r="Q592" s="5"/>
      <c r="R592" s="7"/>
      <c r="S592" s="7"/>
      <c r="T592" s="5"/>
      <c r="U592" s="6"/>
      <c r="V592" s="7"/>
      <c r="W592" s="5"/>
      <c r="X592" s="7"/>
      <c r="Y592" s="7"/>
      <c r="Z592" s="7"/>
      <c r="AA592" s="10"/>
      <c r="AB592" s="11"/>
      <c r="AC592" s="10"/>
      <c r="AD592" s="12"/>
      <c r="AE592" s="12"/>
      <c r="AF592" s="12"/>
      <c r="AG592" s="7"/>
      <c r="AH592" s="7"/>
      <c r="AI592" s="5" t="s">
        <v>1866</v>
      </c>
    </row>
    <row r="593" customFormat="false" ht="15" hidden="false" customHeight="false" outlineLevel="0" collapsed="false">
      <c r="A593" s="5" t="s">
        <v>730</v>
      </c>
      <c r="B593" s="5" t="s">
        <v>1867</v>
      </c>
      <c r="C593" s="5"/>
      <c r="D593" s="5" t="s">
        <v>730</v>
      </c>
      <c r="E593" s="5" t="s">
        <v>60</v>
      </c>
      <c r="F593" s="6" t="n">
        <v>16869.7</v>
      </c>
      <c r="G593" s="7" t="n">
        <v>1298</v>
      </c>
      <c r="H593" s="8" t="n">
        <v>-0.1125</v>
      </c>
      <c r="I593" s="8" t="n">
        <v>-0.2728</v>
      </c>
      <c r="J593" s="7" t="n">
        <v>786</v>
      </c>
      <c r="K593" s="5" t="n">
        <v>16</v>
      </c>
      <c r="L593" s="5" t="n">
        <v>28</v>
      </c>
      <c r="M593" s="5" t="n">
        <v>3.1</v>
      </c>
      <c r="N593" s="9" t="s">
        <v>54</v>
      </c>
      <c r="O593" s="5"/>
      <c r="P593" s="5"/>
      <c r="Q593" s="5"/>
      <c r="R593" s="7"/>
      <c r="S593" s="7"/>
      <c r="T593" s="5"/>
      <c r="U593" s="6"/>
      <c r="V593" s="7"/>
      <c r="W593" s="5"/>
      <c r="X593" s="7"/>
      <c r="Y593" s="7"/>
      <c r="Z593" s="7"/>
      <c r="AA593" s="10"/>
      <c r="AB593" s="11"/>
      <c r="AC593" s="10"/>
      <c r="AD593" s="12"/>
      <c r="AE593" s="12"/>
      <c r="AF593" s="12"/>
      <c r="AG593" s="7"/>
      <c r="AH593" s="7"/>
      <c r="AI593" s="5" t="s">
        <v>1868</v>
      </c>
    </row>
    <row r="594" customFormat="false" ht="15" hidden="false" customHeight="false" outlineLevel="0" collapsed="false">
      <c r="A594" s="5" t="s">
        <v>730</v>
      </c>
      <c r="B594" s="5" t="s">
        <v>1869</v>
      </c>
      <c r="C594" s="5" t="s">
        <v>1870</v>
      </c>
      <c r="D594" s="5" t="s">
        <v>730</v>
      </c>
      <c r="E594" s="5" t="s">
        <v>60</v>
      </c>
      <c r="F594" s="6" t="n">
        <v>16846.94</v>
      </c>
      <c r="G594" s="7" t="n">
        <v>1190</v>
      </c>
      <c r="H594" s="8" t="n">
        <v>17.4538</v>
      </c>
      <c r="I594" s="8" t="n">
        <v>11.268</v>
      </c>
      <c r="J594" s="7" t="n">
        <v>74</v>
      </c>
      <c r="K594" s="5" t="n">
        <v>2</v>
      </c>
      <c r="L594" s="5" t="n">
        <v>169</v>
      </c>
      <c r="M594" s="5" t="n">
        <v>3.5</v>
      </c>
      <c r="N594" s="9" t="s">
        <v>54</v>
      </c>
      <c r="O594" s="5"/>
      <c r="P594" s="5"/>
      <c r="Q594" s="5"/>
      <c r="R594" s="7"/>
      <c r="S594" s="7"/>
      <c r="T594" s="5"/>
      <c r="U594" s="6"/>
      <c r="V594" s="7"/>
      <c r="W594" s="5"/>
      <c r="X594" s="7"/>
      <c r="Y594" s="7"/>
      <c r="Z594" s="7"/>
      <c r="AA594" s="10"/>
      <c r="AB594" s="11"/>
      <c r="AC594" s="10"/>
      <c r="AD594" s="12"/>
      <c r="AE594" s="12"/>
      <c r="AF594" s="12"/>
      <c r="AG594" s="7"/>
      <c r="AH594" s="7"/>
      <c r="AI594" s="5" t="s">
        <v>1871</v>
      </c>
    </row>
    <row r="595" customFormat="false" ht="15" hidden="false" customHeight="false" outlineLevel="0" collapsed="false">
      <c r="A595" s="5" t="s">
        <v>730</v>
      </c>
      <c r="B595" s="5" t="s">
        <v>1872</v>
      </c>
      <c r="C595" s="5"/>
      <c r="D595" s="5" t="s">
        <v>730</v>
      </c>
      <c r="E595" s="5" t="s">
        <v>53</v>
      </c>
      <c r="F595" s="6" t="n">
        <v>16822.09</v>
      </c>
      <c r="G595" s="7" t="n">
        <v>959</v>
      </c>
      <c r="H595" s="8" t="n">
        <v>5.2859</v>
      </c>
      <c r="I595" s="8" t="n">
        <v>5.4797</v>
      </c>
      <c r="J595" s="7" t="n">
        <v>33</v>
      </c>
      <c r="K595" s="5" t="n">
        <v>17</v>
      </c>
      <c r="L595" s="5" t="n">
        <v>952</v>
      </c>
      <c r="M595" s="5" t="n">
        <v>4.2</v>
      </c>
      <c r="N595" s="9" t="s">
        <v>54</v>
      </c>
      <c r="O595" s="5"/>
      <c r="P595" s="5"/>
      <c r="Q595" s="5"/>
      <c r="R595" s="7"/>
      <c r="S595" s="7"/>
      <c r="T595" s="5"/>
      <c r="U595" s="6"/>
      <c r="V595" s="7"/>
      <c r="W595" s="5"/>
      <c r="X595" s="7"/>
      <c r="Y595" s="7"/>
      <c r="Z595" s="7"/>
      <c r="AA595" s="10"/>
      <c r="AB595" s="11"/>
      <c r="AC595" s="10"/>
      <c r="AD595" s="12"/>
      <c r="AE595" s="12"/>
      <c r="AF595" s="12"/>
      <c r="AG595" s="7"/>
      <c r="AH595" s="7"/>
      <c r="AI595" s="5" t="s">
        <v>1873</v>
      </c>
    </row>
    <row r="596" customFormat="false" ht="15" hidden="false" customHeight="false" outlineLevel="0" collapsed="false">
      <c r="A596" s="5" t="s">
        <v>98</v>
      </c>
      <c r="B596" s="5" t="s">
        <v>1874</v>
      </c>
      <c r="C596" s="5" t="s">
        <v>1875</v>
      </c>
      <c r="D596" s="5" t="s">
        <v>291</v>
      </c>
      <c r="E596" s="5" t="s">
        <v>60</v>
      </c>
      <c r="F596" s="6" t="n">
        <v>29288.23</v>
      </c>
      <c r="G596" s="7" t="n">
        <v>163</v>
      </c>
      <c r="H596" s="8" t="n">
        <v>-0.4211</v>
      </c>
      <c r="I596" s="8" t="n">
        <v>-0.3755</v>
      </c>
      <c r="J596" s="7" t="n">
        <v>57</v>
      </c>
      <c r="K596" s="5" t="n">
        <v>11</v>
      </c>
      <c r="L596" s="5" t="n">
        <v>66</v>
      </c>
      <c r="M596" s="5" t="n">
        <v>4.3</v>
      </c>
      <c r="N596" s="13" t="s">
        <v>61</v>
      </c>
      <c r="O596" s="5"/>
      <c r="P596" s="5"/>
      <c r="Q596" s="5"/>
      <c r="R596" s="7"/>
      <c r="S596" s="7"/>
      <c r="T596" s="5"/>
      <c r="U596" s="6"/>
      <c r="V596" s="7"/>
      <c r="W596" s="5"/>
      <c r="X596" s="7"/>
      <c r="Y596" s="7"/>
      <c r="Z596" s="7"/>
      <c r="AA596" s="10"/>
      <c r="AB596" s="11"/>
      <c r="AC596" s="10"/>
      <c r="AD596" s="12"/>
      <c r="AE596" s="12"/>
      <c r="AF596" s="12"/>
      <c r="AG596" s="7"/>
      <c r="AH596" s="7"/>
      <c r="AI596" s="5" t="s">
        <v>1876</v>
      </c>
    </row>
    <row r="597" customFormat="false" ht="15" hidden="false" customHeight="false" outlineLevel="0" collapsed="false">
      <c r="A597" s="5" t="s">
        <v>98</v>
      </c>
      <c r="B597" s="5" t="s">
        <v>1877</v>
      </c>
      <c r="C597" s="5"/>
      <c r="D597" s="5" t="s">
        <v>98</v>
      </c>
      <c r="E597" s="5" t="s">
        <v>60</v>
      </c>
      <c r="F597" s="6" t="n">
        <v>28420.43</v>
      </c>
      <c r="G597" s="7" t="n">
        <v>2830</v>
      </c>
      <c r="H597" s="8" t="n">
        <v>-0.4461</v>
      </c>
      <c r="I597" s="8" t="n">
        <v>-0.4033</v>
      </c>
      <c r="J597" s="7" t="n">
        <v>375</v>
      </c>
      <c r="K597" s="5" t="n">
        <v>2</v>
      </c>
      <c r="L597" s="5" t="n">
        <v>8</v>
      </c>
      <c r="M597" s="5" t="n">
        <v>4.7</v>
      </c>
      <c r="N597" s="9" t="s">
        <v>54</v>
      </c>
      <c r="O597" s="5" t="s">
        <v>258</v>
      </c>
      <c r="P597" s="5"/>
      <c r="Q597" s="5"/>
      <c r="R597" s="7"/>
      <c r="S597" s="7"/>
      <c r="T597" s="5" t="s">
        <v>1878</v>
      </c>
      <c r="U597" s="6" t="n">
        <v>192801.28</v>
      </c>
      <c r="V597" s="7" t="n">
        <v>14451</v>
      </c>
      <c r="W597" s="5" t="n">
        <v>10</v>
      </c>
      <c r="X597" s="7" t="n">
        <v>1508</v>
      </c>
      <c r="Y597" s="7" t="n">
        <v>2620</v>
      </c>
      <c r="Z597" s="7" t="n">
        <v>249</v>
      </c>
      <c r="AA597" s="10" t="n">
        <v>6.99</v>
      </c>
      <c r="AB597" s="11" t="n">
        <v>29.99</v>
      </c>
      <c r="AC597" s="10"/>
      <c r="AD597" s="12"/>
      <c r="AE597" s="12"/>
      <c r="AF597" s="12"/>
      <c r="AG597" s="7" t="n">
        <v>46</v>
      </c>
      <c r="AH597" s="7" t="n">
        <v>781</v>
      </c>
      <c r="AI597" s="5" t="s">
        <v>1879</v>
      </c>
    </row>
    <row r="598" customFormat="false" ht="15" hidden="false" customHeight="false" outlineLevel="0" collapsed="false">
      <c r="A598" s="5" t="s">
        <v>98</v>
      </c>
      <c r="B598" s="5" t="s">
        <v>1880</v>
      </c>
      <c r="C598" s="5" t="s">
        <v>1881</v>
      </c>
      <c r="D598" s="5" t="s">
        <v>446</v>
      </c>
      <c r="E598" s="5" t="s">
        <v>60</v>
      </c>
      <c r="F598" s="6" t="n">
        <v>27983.22</v>
      </c>
      <c r="G598" s="7" t="n">
        <v>420</v>
      </c>
      <c r="H598" s="8" t="n">
        <v>0.3545</v>
      </c>
      <c r="I598" s="8" t="n">
        <v>-0.0118</v>
      </c>
      <c r="J598" s="7" t="n">
        <v>46</v>
      </c>
      <c r="K598" s="5" t="n">
        <v>22</v>
      </c>
      <c r="L598" s="5" t="n">
        <v>448</v>
      </c>
      <c r="M598" s="5" t="n">
        <v>4.5</v>
      </c>
      <c r="N598" s="15" t="s">
        <v>151</v>
      </c>
      <c r="O598" s="5" t="s">
        <v>1882</v>
      </c>
      <c r="P598" s="5"/>
      <c r="Q598" s="5"/>
      <c r="R598" s="7"/>
      <c r="S598" s="7"/>
      <c r="T598" s="5"/>
      <c r="U598" s="6"/>
      <c r="V598" s="7"/>
      <c r="W598" s="5"/>
      <c r="X598" s="7"/>
      <c r="Y598" s="7"/>
      <c r="Z598" s="7"/>
      <c r="AA598" s="10"/>
      <c r="AB598" s="11"/>
      <c r="AC598" s="10"/>
      <c r="AD598" s="12"/>
      <c r="AE598" s="12"/>
      <c r="AF598" s="12"/>
      <c r="AG598" s="7"/>
      <c r="AH598" s="7"/>
      <c r="AI598" s="5" t="s">
        <v>1883</v>
      </c>
    </row>
    <row r="599" customFormat="false" ht="15" hidden="false" customHeight="false" outlineLevel="0" collapsed="false">
      <c r="A599" s="5" t="s">
        <v>98</v>
      </c>
      <c r="B599" s="5" t="s">
        <v>1884</v>
      </c>
      <c r="C599" s="5"/>
      <c r="D599" s="5" t="s">
        <v>98</v>
      </c>
      <c r="E599" s="5" t="s">
        <v>53</v>
      </c>
      <c r="F599" s="6" t="n">
        <v>24177.94</v>
      </c>
      <c r="G599" s="7" t="n">
        <v>216</v>
      </c>
      <c r="H599" s="8" t="n">
        <v>0.3129</v>
      </c>
      <c r="I599" s="8" t="n">
        <v>0.0746</v>
      </c>
      <c r="J599" s="7" t="n">
        <v>153</v>
      </c>
      <c r="K599" s="5" t="n">
        <v>10</v>
      </c>
      <c r="L599" s="5" t="n">
        <v>14</v>
      </c>
      <c r="M599" s="5" t="n">
        <v>4.2</v>
      </c>
      <c r="N599" s="9" t="s">
        <v>54</v>
      </c>
      <c r="O599" s="5"/>
      <c r="P599" s="5"/>
      <c r="Q599" s="5"/>
      <c r="R599" s="7"/>
      <c r="S599" s="7"/>
      <c r="T599" s="5"/>
      <c r="U599" s="6"/>
      <c r="V599" s="7"/>
      <c r="W599" s="5"/>
      <c r="X599" s="7"/>
      <c r="Y599" s="7"/>
      <c r="Z599" s="7"/>
      <c r="AA599" s="10"/>
      <c r="AB599" s="11"/>
      <c r="AC599" s="10"/>
      <c r="AD599" s="12"/>
      <c r="AE599" s="12"/>
      <c r="AF599" s="12"/>
      <c r="AG599" s="7"/>
      <c r="AH599" s="7"/>
      <c r="AI599" s="5" t="s">
        <v>1885</v>
      </c>
    </row>
    <row r="600" customFormat="false" ht="15" hidden="false" customHeight="false" outlineLevel="0" collapsed="false">
      <c r="A600" s="5" t="s">
        <v>98</v>
      </c>
      <c r="B600" s="5" t="s">
        <v>1886</v>
      </c>
      <c r="C600" s="5" t="s">
        <v>1887</v>
      </c>
      <c r="D600" s="5" t="s">
        <v>59</v>
      </c>
      <c r="E600" s="5" t="s">
        <v>60</v>
      </c>
      <c r="F600" s="6" t="n">
        <v>24009.7</v>
      </c>
      <c r="G600" s="7" t="n">
        <v>894</v>
      </c>
      <c r="H600" s="8" t="n">
        <v>-0.0425</v>
      </c>
      <c r="I600" s="8" t="n">
        <v>-0.1887</v>
      </c>
      <c r="J600" s="7" t="n">
        <v>25</v>
      </c>
      <c r="K600" s="5" t="n">
        <v>13</v>
      </c>
      <c r="L600" s="5" t="n">
        <v>550</v>
      </c>
      <c r="M600" s="5" t="n">
        <v>3.2</v>
      </c>
      <c r="N600" s="15" t="s">
        <v>151</v>
      </c>
      <c r="O600" s="5" t="s">
        <v>1888</v>
      </c>
      <c r="P600" s="5"/>
      <c r="Q600" s="5"/>
      <c r="R600" s="7"/>
      <c r="S600" s="7"/>
      <c r="T600" s="5"/>
      <c r="U600" s="6"/>
      <c r="V600" s="7"/>
      <c r="W600" s="5"/>
      <c r="X600" s="7"/>
      <c r="Y600" s="7"/>
      <c r="Z600" s="7"/>
      <c r="AA600" s="10"/>
      <c r="AB600" s="11"/>
      <c r="AC600" s="10"/>
      <c r="AD600" s="12"/>
      <c r="AE600" s="12"/>
      <c r="AF600" s="12"/>
      <c r="AG600" s="7"/>
      <c r="AH600" s="7"/>
      <c r="AI600" s="5" t="s">
        <v>1889</v>
      </c>
    </row>
    <row r="601" customFormat="false" ht="15" hidden="false" customHeight="false" outlineLevel="0" collapsed="false">
      <c r="A601" s="5" t="s">
        <v>98</v>
      </c>
      <c r="B601" s="5" t="s">
        <v>1890</v>
      </c>
      <c r="C601" s="5"/>
      <c r="D601" s="5" t="s">
        <v>98</v>
      </c>
      <c r="E601" s="5" t="s">
        <v>60</v>
      </c>
      <c r="F601" s="6" t="n">
        <v>23466.74</v>
      </c>
      <c r="G601" s="7" t="n">
        <v>1612</v>
      </c>
      <c r="H601" s="8" t="n">
        <v>1.7348</v>
      </c>
      <c r="I601" s="8" t="n">
        <v>1.5346</v>
      </c>
      <c r="J601" s="7" t="n">
        <v>32</v>
      </c>
      <c r="K601" s="5" t="n">
        <v>9</v>
      </c>
      <c r="L601" s="5" t="n">
        <v>23</v>
      </c>
      <c r="M601" s="5" t="n">
        <v>4.3</v>
      </c>
      <c r="N601" s="9" t="s">
        <v>54</v>
      </c>
      <c r="O601" s="5"/>
      <c r="P601" s="5"/>
      <c r="Q601" s="5"/>
      <c r="R601" s="7"/>
      <c r="S601" s="7"/>
      <c r="T601" s="5"/>
      <c r="U601" s="6"/>
      <c r="V601" s="7"/>
      <c r="W601" s="5"/>
      <c r="X601" s="7"/>
      <c r="Y601" s="7"/>
      <c r="Z601" s="7"/>
      <c r="AA601" s="10"/>
      <c r="AB601" s="11"/>
      <c r="AC601" s="10"/>
      <c r="AD601" s="12"/>
      <c r="AE601" s="12"/>
      <c r="AF601" s="12"/>
      <c r="AG601" s="7"/>
      <c r="AH601" s="7"/>
      <c r="AI601" s="5" t="s">
        <v>1891</v>
      </c>
    </row>
    <row r="602" customFormat="false" ht="15" hidden="false" customHeight="false" outlineLevel="0" collapsed="false">
      <c r="A602" s="5" t="s">
        <v>98</v>
      </c>
      <c r="B602" s="5" t="s">
        <v>1892</v>
      </c>
      <c r="C602" s="5"/>
      <c r="D602" s="5" t="s">
        <v>98</v>
      </c>
      <c r="E602" s="5" t="s">
        <v>53</v>
      </c>
      <c r="F602" s="6" t="n">
        <v>22138.03</v>
      </c>
      <c r="G602" s="7" t="n">
        <v>1085</v>
      </c>
      <c r="H602" s="8" t="n">
        <v>0.0075</v>
      </c>
      <c r="I602" s="8" t="n">
        <v>-0.0875</v>
      </c>
      <c r="J602" s="7" t="n">
        <v>646</v>
      </c>
      <c r="K602" s="5" t="n">
        <v>11</v>
      </c>
      <c r="L602" s="5" t="n">
        <v>18</v>
      </c>
      <c r="M602" s="5" t="n">
        <v>4.3</v>
      </c>
      <c r="N602" s="9" t="s">
        <v>54</v>
      </c>
      <c r="O602" s="5"/>
      <c r="P602" s="5"/>
      <c r="Q602" s="5"/>
      <c r="R602" s="7"/>
      <c r="S602" s="7"/>
      <c r="T602" s="5"/>
      <c r="U602" s="6"/>
      <c r="V602" s="7"/>
      <c r="W602" s="5"/>
      <c r="X602" s="7"/>
      <c r="Y602" s="7"/>
      <c r="Z602" s="7"/>
      <c r="AA602" s="10"/>
      <c r="AB602" s="11"/>
      <c r="AC602" s="10"/>
      <c r="AD602" s="12"/>
      <c r="AE602" s="12"/>
      <c r="AF602" s="12"/>
      <c r="AG602" s="7"/>
      <c r="AH602" s="7"/>
      <c r="AI602" s="5" t="s">
        <v>1893</v>
      </c>
    </row>
    <row r="603" customFormat="false" ht="15" hidden="false" customHeight="false" outlineLevel="0" collapsed="false">
      <c r="A603" s="5" t="s">
        <v>98</v>
      </c>
      <c r="B603" s="5" t="s">
        <v>1894</v>
      </c>
      <c r="C603" s="5" t="s">
        <v>1895</v>
      </c>
      <c r="D603" s="5" t="s">
        <v>98</v>
      </c>
      <c r="E603" s="5" t="s">
        <v>60</v>
      </c>
      <c r="F603" s="6" t="n">
        <v>21363.58</v>
      </c>
      <c r="G603" s="7" t="n">
        <v>687</v>
      </c>
      <c r="H603" s="8" t="n">
        <v>-0.049</v>
      </c>
      <c r="I603" s="8" t="n">
        <v>-0.0524</v>
      </c>
      <c r="J603" s="7" t="n">
        <v>112</v>
      </c>
      <c r="K603" s="5" t="n">
        <v>65</v>
      </c>
      <c r="L603" s="5" t="n">
        <v>219</v>
      </c>
      <c r="M603" s="5" t="n">
        <v>4.6</v>
      </c>
      <c r="N603" s="9" t="s">
        <v>54</v>
      </c>
      <c r="O603" s="5"/>
      <c r="P603" s="5" t="s">
        <v>1896</v>
      </c>
      <c r="Q603" s="14" t="s">
        <v>1897</v>
      </c>
      <c r="R603" s="7" t="n">
        <v>7028</v>
      </c>
      <c r="S603" s="7" t="n">
        <v>1055</v>
      </c>
      <c r="T603" s="5" t="s">
        <v>1898</v>
      </c>
      <c r="U603" s="6" t="n">
        <v>264497.95</v>
      </c>
      <c r="V603" s="7" t="n">
        <v>10849</v>
      </c>
      <c r="W603" s="5" t="n">
        <v>292</v>
      </c>
      <c r="X603" s="7" t="n">
        <v>78</v>
      </c>
      <c r="Y603" s="7" t="n">
        <v>1658</v>
      </c>
      <c r="Z603" s="7" t="n">
        <v>31</v>
      </c>
      <c r="AA603" s="10" t="n">
        <v>8.99</v>
      </c>
      <c r="AB603" s="11" t="n">
        <v>141.32</v>
      </c>
      <c r="AC603" s="10" t="n">
        <v>25.63</v>
      </c>
      <c r="AD603" s="12" t="n">
        <v>0.61</v>
      </c>
      <c r="AE603" s="12" t="n">
        <v>0.93</v>
      </c>
      <c r="AF603" s="12" t="n">
        <v>0.86</v>
      </c>
      <c r="AG603" s="7" t="n">
        <v>17</v>
      </c>
      <c r="AH603" s="7" t="n">
        <v>1259</v>
      </c>
      <c r="AI603" s="5" t="s">
        <v>1899</v>
      </c>
    </row>
    <row r="604" customFormat="false" ht="15" hidden="false" customHeight="false" outlineLevel="0" collapsed="false">
      <c r="A604" s="5" t="s">
        <v>98</v>
      </c>
      <c r="B604" s="5" t="s">
        <v>1900</v>
      </c>
      <c r="C604" s="5" t="s">
        <v>1901</v>
      </c>
      <c r="D604" s="5" t="s">
        <v>1221</v>
      </c>
      <c r="E604" s="5" t="s">
        <v>60</v>
      </c>
      <c r="F604" s="6" t="n">
        <v>21132.33</v>
      </c>
      <c r="G604" s="7" t="n">
        <v>958</v>
      </c>
      <c r="H604" s="8" t="n">
        <v>1.3613</v>
      </c>
      <c r="I604" s="8" t="n">
        <v>0.4193</v>
      </c>
      <c r="J604" s="7" t="n">
        <v>393</v>
      </c>
      <c r="K604" s="5" t="n">
        <v>6</v>
      </c>
      <c r="L604" s="5" t="n">
        <v>171</v>
      </c>
      <c r="M604" s="5" t="n">
        <v>4.1</v>
      </c>
      <c r="N604" s="15" t="s">
        <v>151</v>
      </c>
      <c r="O604" s="5" t="s">
        <v>1902</v>
      </c>
      <c r="P604" s="5"/>
      <c r="Q604" s="5"/>
      <c r="R604" s="7"/>
      <c r="S604" s="7"/>
      <c r="T604" s="5"/>
      <c r="U604" s="6"/>
      <c r="V604" s="7"/>
      <c r="W604" s="5"/>
      <c r="X604" s="7"/>
      <c r="Y604" s="7"/>
      <c r="Z604" s="7"/>
      <c r="AA604" s="10"/>
      <c r="AB604" s="11"/>
      <c r="AC604" s="10"/>
      <c r="AD604" s="12"/>
      <c r="AE604" s="12"/>
      <c r="AF604" s="12"/>
      <c r="AG604" s="7"/>
      <c r="AH604" s="7"/>
      <c r="AI604" s="5" t="s">
        <v>1903</v>
      </c>
    </row>
    <row r="605" customFormat="false" ht="15" hidden="false" customHeight="false" outlineLevel="0" collapsed="false">
      <c r="A605" s="5" t="s">
        <v>98</v>
      </c>
      <c r="B605" s="5" t="s">
        <v>1904</v>
      </c>
      <c r="C605" s="5" t="s">
        <v>1904</v>
      </c>
      <c r="D605" s="5" t="s">
        <v>98</v>
      </c>
      <c r="E605" s="5" t="s">
        <v>60</v>
      </c>
      <c r="F605" s="6" t="n">
        <v>20539.42</v>
      </c>
      <c r="G605" s="7" t="n">
        <v>934</v>
      </c>
      <c r="H605" s="8" t="n">
        <v>2.5535</v>
      </c>
      <c r="I605" s="8" t="n">
        <v>2.2772</v>
      </c>
      <c r="J605" s="7" t="n">
        <v>43</v>
      </c>
      <c r="K605" s="5" t="n">
        <v>10</v>
      </c>
      <c r="L605" s="5" t="n">
        <v>13</v>
      </c>
      <c r="M605" s="5" t="n">
        <v>4.7</v>
      </c>
      <c r="N605" s="9" t="s">
        <v>54</v>
      </c>
      <c r="O605" s="5"/>
      <c r="P605" s="5"/>
      <c r="Q605" s="5"/>
      <c r="R605" s="7"/>
      <c r="S605" s="7"/>
      <c r="T605" s="5"/>
      <c r="U605" s="6"/>
      <c r="V605" s="7"/>
      <c r="W605" s="5"/>
      <c r="X605" s="7"/>
      <c r="Y605" s="7"/>
      <c r="Z605" s="7"/>
      <c r="AA605" s="10"/>
      <c r="AB605" s="11"/>
      <c r="AC605" s="10"/>
      <c r="AD605" s="12"/>
      <c r="AE605" s="12"/>
      <c r="AF605" s="12"/>
      <c r="AG605" s="7"/>
      <c r="AH605" s="7"/>
      <c r="AI605" s="5" t="s">
        <v>1905</v>
      </c>
    </row>
    <row r="606" customFormat="false" ht="15" hidden="false" customHeight="false" outlineLevel="0" collapsed="false">
      <c r="A606" s="5" t="s">
        <v>98</v>
      </c>
      <c r="B606" s="5" t="s">
        <v>1906</v>
      </c>
      <c r="C606" s="5" t="s">
        <v>1907</v>
      </c>
      <c r="D606" s="5" t="s">
        <v>98</v>
      </c>
      <c r="E606" s="5" t="s">
        <v>53</v>
      </c>
      <c r="F606" s="6" t="n">
        <v>19497.86</v>
      </c>
      <c r="G606" s="7" t="n">
        <v>2571</v>
      </c>
      <c r="H606" s="8" t="n">
        <v>17.0803</v>
      </c>
      <c r="I606" s="8" t="n">
        <v>12.6032</v>
      </c>
      <c r="J606" s="7" t="n">
        <v>433</v>
      </c>
      <c r="K606" s="5" t="n">
        <v>5</v>
      </c>
      <c r="L606" s="5" t="n">
        <v>91</v>
      </c>
      <c r="M606" s="5" t="n">
        <v>4.7</v>
      </c>
      <c r="N606" s="9" t="s">
        <v>54</v>
      </c>
      <c r="O606" s="5"/>
      <c r="P606" s="5"/>
      <c r="Q606" s="5"/>
      <c r="R606" s="7"/>
      <c r="S606" s="7"/>
      <c r="T606" s="5"/>
      <c r="U606" s="6"/>
      <c r="V606" s="7"/>
      <c r="W606" s="5"/>
      <c r="X606" s="7"/>
      <c r="Y606" s="7"/>
      <c r="Z606" s="7"/>
      <c r="AA606" s="10"/>
      <c r="AB606" s="11"/>
      <c r="AC606" s="10"/>
      <c r="AD606" s="12"/>
      <c r="AE606" s="12"/>
      <c r="AF606" s="12"/>
      <c r="AG606" s="7"/>
      <c r="AH606" s="7"/>
      <c r="AI606" s="5" t="s">
        <v>1908</v>
      </c>
    </row>
    <row r="607" customFormat="false" ht="15" hidden="false" customHeight="false" outlineLevel="0" collapsed="false">
      <c r="A607" s="5" t="s">
        <v>98</v>
      </c>
      <c r="B607" s="5" t="s">
        <v>1909</v>
      </c>
      <c r="C607" s="5" t="s">
        <v>1910</v>
      </c>
      <c r="D607" s="5" t="s">
        <v>98</v>
      </c>
      <c r="E607" s="5" t="s">
        <v>60</v>
      </c>
      <c r="F607" s="6" t="n">
        <v>19011.61</v>
      </c>
      <c r="G607" s="7" t="n">
        <v>921</v>
      </c>
      <c r="H607" s="8" t="n">
        <v>0.2631</v>
      </c>
      <c r="I607" s="8" t="n">
        <v>0.193</v>
      </c>
      <c r="J607" s="7" t="n">
        <v>84</v>
      </c>
      <c r="K607" s="5" t="n">
        <v>33</v>
      </c>
      <c r="L607" s="5" t="n">
        <v>255</v>
      </c>
      <c r="M607" s="5" t="n">
        <v>3.6</v>
      </c>
      <c r="N607" s="9" t="s">
        <v>54</v>
      </c>
      <c r="O607" s="5" t="s">
        <v>258</v>
      </c>
      <c r="P607" s="5"/>
      <c r="Q607" s="5"/>
      <c r="R607" s="7"/>
      <c r="S607" s="7"/>
      <c r="T607" s="5" t="s">
        <v>1911</v>
      </c>
      <c r="U607" s="6" t="n">
        <v>269813.52</v>
      </c>
      <c r="V607" s="7" t="n">
        <v>17056</v>
      </c>
      <c r="W607" s="5" t="n">
        <v>325</v>
      </c>
      <c r="X607" s="7" t="n">
        <v>602</v>
      </c>
      <c r="Y607" s="7" t="n">
        <v>1385</v>
      </c>
      <c r="Z607" s="7" t="n">
        <v>212</v>
      </c>
      <c r="AA607" s="10" t="n">
        <v>6.67</v>
      </c>
      <c r="AB607" s="11" t="n">
        <v>136.84</v>
      </c>
      <c r="AC607" s="10" t="n">
        <v>19.66</v>
      </c>
      <c r="AD607" s="12" t="n">
        <v>0.66</v>
      </c>
      <c r="AE607" s="12" t="n">
        <v>0.89</v>
      </c>
      <c r="AF607" s="12" t="n">
        <v>0.99</v>
      </c>
      <c r="AG607" s="7" t="n">
        <v>14</v>
      </c>
      <c r="AH607" s="7" t="n">
        <v>1158</v>
      </c>
      <c r="AI607" s="5" t="s">
        <v>1912</v>
      </c>
    </row>
    <row r="608" customFormat="false" ht="15" hidden="false" customHeight="false" outlineLevel="0" collapsed="false">
      <c r="A608" s="5" t="s">
        <v>98</v>
      </c>
      <c r="B608" s="5" t="s">
        <v>1913</v>
      </c>
      <c r="C608" s="5" t="s">
        <v>1914</v>
      </c>
      <c r="D608" s="5" t="s">
        <v>59</v>
      </c>
      <c r="E608" s="5" t="s">
        <v>60</v>
      </c>
      <c r="F608" s="6" t="n">
        <v>18877.77</v>
      </c>
      <c r="G608" s="7" t="n">
        <v>878</v>
      </c>
      <c r="H608" s="8" t="n">
        <v>-0.3478</v>
      </c>
      <c r="I608" s="8" t="n">
        <v>-0.2182</v>
      </c>
      <c r="J608" s="7" t="n">
        <v>211</v>
      </c>
      <c r="K608" s="5" t="n">
        <v>6</v>
      </c>
      <c r="L608" s="5" t="n">
        <v>84</v>
      </c>
      <c r="M608" s="5" t="n">
        <v>4.5</v>
      </c>
      <c r="N608" s="15" t="s">
        <v>151</v>
      </c>
      <c r="O608" s="5" t="s">
        <v>1915</v>
      </c>
      <c r="P608" s="5"/>
      <c r="Q608" s="5"/>
      <c r="R608" s="7"/>
      <c r="S608" s="7"/>
      <c r="T608" s="5"/>
      <c r="U608" s="6"/>
      <c r="V608" s="7"/>
      <c r="W608" s="5"/>
      <c r="X608" s="7"/>
      <c r="Y608" s="7"/>
      <c r="Z608" s="7"/>
      <c r="AA608" s="10"/>
      <c r="AB608" s="11"/>
      <c r="AC608" s="10"/>
      <c r="AD608" s="12"/>
      <c r="AE608" s="12"/>
      <c r="AF608" s="12"/>
      <c r="AG608" s="7"/>
      <c r="AH608" s="7"/>
      <c r="AI608" s="5" t="s">
        <v>1916</v>
      </c>
    </row>
    <row r="609" customFormat="false" ht="15" hidden="false" customHeight="false" outlineLevel="0" collapsed="false">
      <c r="A609" s="5" t="s">
        <v>98</v>
      </c>
      <c r="B609" s="5" t="s">
        <v>1917</v>
      </c>
      <c r="C609" s="5"/>
      <c r="D609" s="5" t="s">
        <v>98</v>
      </c>
      <c r="E609" s="5" t="s">
        <v>53</v>
      </c>
      <c r="F609" s="6" t="n">
        <v>17661.78</v>
      </c>
      <c r="G609" s="7" t="n">
        <v>2505</v>
      </c>
      <c r="H609" s="8" t="n">
        <v>17.5894</v>
      </c>
      <c r="I609" s="8" t="n">
        <v>15.2662</v>
      </c>
      <c r="J609" s="7" t="n">
        <v>13</v>
      </c>
      <c r="K609" s="5" t="n">
        <v>20</v>
      </c>
      <c r="L609" s="5" t="n">
        <v>748</v>
      </c>
      <c r="M609" s="5" t="n">
        <v>4.7</v>
      </c>
      <c r="N609" s="9" t="s">
        <v>54</v>
      </c>
      <c r="O609" s="5"/>
      <c r="P609" s="5"/>
      <c r="Q609" s="5"/>
      <c r="R609" s="7"/>
      <c r="S609" s="7"/>
      <c r="T609" s="5"/>
      <c r="U609" s="6"/>
      <c r="V609" s="7"/>
      <c r="W609" s="5"/>
      <c r="X609" s="7"/>
      <c r="Y609" s="7"/>
      <c r="Z609" s="7"/>
      <c r="AA609" s="10"/>
      <c r="AB609" s="11"/>
      <c r="AC609" s="10"/>
      <c r="AD609" s="12"/>
      <c r="AE609" s="12"/>
      <c r="AF609" s="12"/>
      <c r="AG609" s="7"/>
      <c r="AH609" s="7"/>
      <c r="AI609" s="5" t="s">
        <v>1918</v>
      </c>
    </row>
    <row r="610" customFormat="false" ht="15" hidden="false" customHeight="false" outlineLevel="0" collapsed="false">
      <c r="A610" s="5" t="s">
        <v>98</v>
      </c>
      <c r="B610" s="5" t="s">
        <v>1919</v>
      </c>
      <c r="C610" s="5" t="s">
        <v>1920</v>
      </c>
      <c r="D610" s="5" t="s">
        <v>98</v>
      </c>
      <c r="E610" s="5" t="s">
        <v>60</v>
      </c>
      <c r="F610" s="6" t="n">
        <v>17497.8</v>
      </c>
      <c r="G610" s="7" t="n">
        <v>160</v>
      </c>
      <c r="H610" s="8" t="n">
        <v>1.0946</v>
      </c>
      <c r="I610" s="8" t="n">
        <v>-0.1919</v>
      </c>
      <c r="J610" s="7" t="n">
        <v>7</v>
      </c>
      <c r="K610" s="5" t="n">
        <v>5</v>
      </c>
      <c r="L610" s="5" t="n">
        <v>22</v>
      </c>
      <c r="M610" s="5" t="n">
        <v>3.1</v>
      </c>
      <c r="N610" s="9" t="s">
        <v>54</v>
      </c>
      <c r="O610" s="5"/>
      <c r="P610" s="5"/>
      <c r="Q610" s="5"/>
      <c r="R610" s="7"/>
      <c r="S610" s="7"/>
      <c r="T610" s="5"/>
      <c r="U610" s="6"/>
      <c r="V610" s="7"/>
      <c r="W610" s="5"/>
      <c r="X610" s="7"/>
      <c r="Y610" s="7"/>
      <c r="Z610" s="7"/>
      <c r="AA610" s="10"/>
      <c r="AB610" s="11"/>
      <c r="AC610" s="10"/>
      <c r="AD610" s="12"/>
      <c r="AE610" s="12"/>
      <c r="AF610" s="12"/>
      <c r="AG610" s="7"/>
      <c r="AH610" s="7"/>
      <c r="AI610" s="5" t="s">
        <v>1921</v>
      </c>
    </row>
    <row r="611" customFormat="false" ht="15" hidden="false" customHeight="false" outlineLevel="0" collapsed="false">
      <c r="A611" s="5" t="s">
        <v>98</v>
      </c>
      <c r="B611" s="5" t="s">
        <v>1922</v>
      </c>
      <c r="C611" s="5"/>
      <c r="D611" s="5" t="s">
        <v>98</v>
      </c>
      <c r="E611" s="5" t="s">
        <v>60</v>
      </c>
      <c r="F611" s="6" t="n">
        <v>17325.88</v>
      </c>
      <c r="G611" s="7" t="n">
        <v>1152</v>
      </c>
      <c r="H611" s="8" t="n">
        <v>0</v>
      </c>
      <c r="I611" s="8" t="n">
        <v>0</v>
      </c>
      <c r="J611" s="7" t="n">
        <v>23</v>
      </c>
      <c r="K611" s="5" t="n">
        <v>3</v>
      </c>
      <c r="L611" s="5" t="n">
        <v>51</v>
      </c>
      <c r="M611" s="5" t="n">
        <v>2.8</v>
      </c>
      <c r="N611" s="9" t="s">
        <v>54</v>
      </c>
      <c r="O611" s="5"/>
      <c r="P611" s="5"/>
      <c r="Q611" s="5"/>
      <c r="R611" s="7"/>
      <c r="S611" s="7"/>
      <c r="T611" s="5"/>
      <c r="U611" s="6"/>
      <c r="V611" s="7"/>
      <c r="W611" s="5"/>
      <c r="X611" s="7"/>
      <c r="Y611" s="7"/>
      <c r="Z611" s="7"/>
      <c r="AA611" s="10"/>
      <c r="AB611" s="11"/>
      <c r="AC611" s="10"/>
      <c r="AD611" s="12"/>
      <c r="AE611" s="12"/>
      <c r="AF611" s="12"/>
      <c r="AG611" s="7"/>
      <c r="AH611" s="7"/>
      <c r="AI611" s="5" t="s">
        <v>1923</v>
      </c>
    </row>
    <row r="612" customFormat="false" ht="15" hidden="false" customHeight="false" outlineLevel="0" collapsed="false">
      <c r="A612" s="5" t="s">
        <v>83</v>
      </c>
      <c r="B612" s="5" t="s">
        <v>1924</v>
      </c>
      <c r="C612" s="5" t="s">
        <v>1925</v>
      </c>
      <c r="D612" s="5" t="s">
        <v>59</v>
      </c>
      <c r="E612" s="5" t="s">
        <v>60</v>
      </c>
      <c r="F612" s="6" t="n">
        <v>29297.73</v>
      </c>
      <c r="G612" s="7" t="n">
        <v>1322</v>
      </c>
      <c r="H612" s="8" t="n">
        <v>0.0937</v>
      </c>
      <c r="I612" s="8" t="n">
        <v>-0.1331</v>
      </c>
      <c r="J612" s="7" t="n">
        <v>137</v>
      </c>
      <c r="K612" s="5" t="n">
        <v>34</v>
      </c>
      <c r="L612" s="5" t="n">
        <v>756</v>
      </c>
      <c r="M612" s="5" t="n">
        <v>4</v>
      </c>
      <c r="N612" s="15" t="s">
        <v>151</v>
      </c>
      <c r="O612" s="5" t="s">
        <v>1926</v>
      </c>
      <c r="P612" s="5"/>
      <c r="Q612" s="5"/>
      <c r="R612" s="7"/>
      <c r="S612" s="7"/>
      <c r="T612" s="5"/>
      <c r="U612" s="6"/>
      <c r="V612" s="7"/>
      <c r="W612" s="5"/>
      <c r="X612" s="7"/>
      <c r="Y612" s="7"/>
      <c r="Z612" s="7"/>
      <c r="AA612" s="10"/>
      <c r="AB612" s="11"/>
      <c r="AC612" s="10"/>
      <c r="AD612" s="12"/>
      <c r="AE612" s="12"/>
      <c r="AF612" s="12"/>
      <c r="AG612" s="7"/>
      <c r="AH612" s="7"/>
      <c r="AI612" s="5" t="s">
        <v>1927</v>
      </c>
    </row>
    <row r="613" customFormat="false" ht="15" hidden="false" customHeight="false" outlineLevel="0" collapsed="false">
      <c r="A613" s="5" t="s">
        <v>83</v>
      </c>
      <c r="B613" s="5" t="s">
        <v>1928</v>
      </c>
      <c r="C613" s="5" t="s">
        <v>1929</v>
      </c>
      <c r="D613" s="5" t="s">
        <v>83</v>
      </c>
      <c r="E613" s="5" t="s">
        <v>53</v>
      </c>
      <c r="F613" s="6" t="n">
        <v>28314.3</v>
      </c>
      <c r="G613" s="7" t="n">
        <v>2424</v>
      </c>
      <c r="H613" s="8" t="n">
        <v>3.0224</v>
      </c>
      <c r="I613" s="8" t="n">
        <v>2.9803</v>
      </c>
      <c r="J613" s="7" t="n">
        <v>524</v>
      </c>
      <c r="K613" s="5" t="n">
        <v>12</v>
      </c>
      <c r="L613" s="5" t="n">
        <v>26</v>
      </c>
      <c r="M613" s="5" t="n">
        <v>4</v>
      </c>
      <c r="N613" s="9" t="s">
        <v>54</v>
      </c>
      <c r="O613" s="5"/>
      <c r="P613" s="5"/>
      <c r="Q613" s="5"/>
      <c r="R613" s="7"/>
      <c r="S613" s="7"/>
      <c r="T613" s="5"/>
      <c r="U613" s="6"/>
      <c r="V613" s="7"/>
      <c r="W613" s="5"/>
      <c r="X613" s="7"/>
      <c r="Y613" s="7"/>
      <c r="Z613" s="7"/>
      <c r="AA613" s="10"/>
      <c r="AB613" s="11"/>
      <c r="AC613" s="10"/>
      <c r="AD613" s="12"/>
      <c r="AE613" s="12"/>
      <c r="AF613" s="12"/>
      <c r="AG613" s="7"/>
      <c r="AH613" s="7"/>
      <c r="AI613" s="5" t="s">
        <v>1930</v>
      </c>
    </row>
    <row r="614" customFormat="false" ht="15" hidden="false" customHeight="false" outlineLevel="0" collapsed="false">
      <c r="A614" s="5" t="s">
        <v>83</v>
      </c>
      <c r="B614" s="5" t="s">
        <v>1931</v>
      </c>
      <c r="C614" s="5" t="s">
        <v>1932</v>
      </c>
      <c r="D614" s="5" t="s">
        <v>83</v>
      </c>
      <c r="E614" s="5" t="s">
        <v>53</v>
      </c>
      <c r="F614" s="6" t="n">
        <v>27808.17</v>
      </c>
      <c r="G614" s="7" t="n">
        <v>3339</v>
      </c>
      <c r="H614" s="8" t="n">
        <v>0.3608</v>
      </c>
      <c r="I614" s="8" t="n">
        <v>0.0487</v>
      </c>
      <c r="J614" s="7" t="n">
        <v>661</v>
      </c>
      <c r="K614" s="5" t="n">
        <v>36</v>
      </c>
      <c r="L614" s="5" t="n">
        <v>63</v>
      </c>
      <c r="M614" s="5" t="n">
        <v>4.3</v>
      </c>
      <c r="N614" s="9" t="s">
        <v>54</v>
      </c>
      <c r="O614" s="5"/>
      <c r="P614" s="5"/>
      <c r="Q614" s="5"/>
      <c r="R614" s="7"/>
      <c r="S614" s="7"/>
      <c r="T614" s="5"/>
      <c r="U614" s="6"/>
      <c r="V614" s="7"/>
      <c r="W614" s="5"/>
      <c r="X614" s="7"/>
      <c r="Y614" s="7"/>
      <c r="Z614" s="7"/>
      <c r="AA614" s="10"/>
      <c r="AB614" s="11"/>
      <c r="AC614" s="10"/>
      <c r="AD614" s="12"/>
      <c r="AE614" s="12"/>
      <c r="AF614" s="12"/>
      <c r="AG614" s="7"/>
      <c r="AH614" s="7"/>
      <c r="AI614" s="5" t="s">
        <v>1933</v>
      </c>
    </row>
    <row r="615" customFormat="false" ht="15" hidden="false" customHeight="false" outlineLevel="0" collapsed="false">
      <c r="A615" s="5" t="s">
        <v>83</v>
      </c>
      <c r="B615" s="5" t="s">
        <v>1934</v>
      </c>
      <c r="C615" s="5" t="s">
        <v>1935</v>
      </c>
      <c r="D615" s="5" t="s">
        <v>83</v>
      </c>
      <c r="E615" s="5" t="s">
        <v>60</v>
      </c>
      <c r="F615" s="6" t="n">
        <v>27412.15</v>
      </c>
      <c r="G615" s="7" t="n">
        <v>1682</v>
      </c>
      <c r="H615" s="8" t="n">
        <v>0.8711</v>
      </c>
      <c r="I615" s="8" t="n">
        <v>0.7913</v>
      </c>
      <c r="J615" s="7" t="n">
        <v>397</v>
      </c>
      <c r="K615" s="5" t="n">
        <v>7</v>
      </c>
      <c r="L615" s="5" t="n">
        <v>21</v>
      </c>
      <c r="M615" s="5" t="n">
        <v>4.8</v>
      </c>
      <c r="N615" s="9" t="s">
        <v>54</v>
      </c>
      <c r="O615" s="5"/>
      <c r="P615" s="5" t="s">
        <v>1936</v>
      </c>
      <c r="Q615" s="14" t="s">
        <v>1937</v>
      </c>
      <c r="R615" s="7" t="n">
        <v>3455</v>
      </c>
      <c r="S615" s="7" t="n">
        <v>1553</v>
      </c>
      <c r="T615" s="5" t="s">
        <v>1938</v>
      </c>
      <c r="U615" s="6" t="n">
        <v>813540.32</v>
      </c>
      <c r="V615" s="7" t="n">
        <v>61313</v>
      </c>
      <c r="W615" s="5" t="n">
        <v>29</v>
      </c>
      <c r="X615" s="7" t="n">
        <v>1989</v>
      </c>
      <c r="Y615" s="7" t="n">
        <v>5347</v>
      </c>
      <c r="Z615" s="7" t="n">
        <v>896</v>
      </c>
      <c r="AA615" s="10" t="n">
        <v>2.99</v>
      </c>
      <c r="AB615" s="11" t="n">
        <v>58.92</v>
      </c>
      <c r="AC615" s="10" t="n">
        <v>14.74</v>
      </c>
      <c r="AD615" s="12" t="n">
        <v>0.96</v>
      </c>
      <c r="AE615" s="12" t="n">
        <v>0.95</v>
      </c>
      <c r="AF615" s="12" t="n">
        <v>0.88</v>
      </c>
      <c r="AG615" s="7" t="n">
        <v>63</v>
      </c>
      <c r="AH615" s="7" t="n">
        <v>1671</v>
      </c>
      <c r="AI615" s="5" t="s">
        <v>1939</v>
      </c>
    </row>
    <row r="616" customFormat="false" ht="15" hidden="false" customHeight="false" outlineLevel="0" collapsed="false">
      <c r="A616" s="5" t="s">
        <v>83</v>
      </c>
      <c r="B616" s="5" t="s">
        <v>1940</v>
      </c>
      <c r="C616" s="5" t="s">
        <v>1941</v>
      </c>
      <c r="D616" s="5" t="s">
        <v>83</v>
      </c>
      <c r="E616" s="5" t="s">
        <v>60</v>
      </c>
      <c r="F616" s="6" t="n">
        <v>27409.08</v>
      </c>
      <c r="G616" s="7" t="n">
        <v>4207</v>
      </c>
      <c r="H616" s="8" t="n">
        <v>-0.1266</v>
      </c>
      <c r="I616" s="8" t="n">
        <v>-0.245</v>
      </c>
      <c r="J616" s="7" t="n">
        <v>2228</v>
      </c>
      <c r="K616" s="5" t="n">
        <v>93</v>
      </c>
      <c r="L616" s="5" t="n">
        <v>89</v>
      </c>
      <c r="M616" s="5" t="n">
        <v>4.4</v>
      </c>
      <c r="N616" s="9" t="s">
        <v>54</v>
      </c>
      <c r="O616" s="5"/>
      <c r="P616" s="5" t="s">
        <v>1942</v>
      </c>
      <c r="Q616" s="14" t="s">
        <v>1943</v>
      </c>
      <c r="R616" s="7" t="n">
        <v>564436</v>
      </c>
      <c r="S616" s="7" t="n">
        <v>1196</v>
      </c>
      <c r="T616" s="5" t="s">
        <v>1944</v>
      </c>
      <c r="U616" s="6" t="n">
        <v>1027408.86</v>
      </c>
      <c r="V616" s="7" t="n">
        <v>192805</v>
      </c>
      <c r="W616" s="5" t="n">
        <v>328</v>
      </c>
      <c r="X616" s="7" t="n">
        <v>966</v>
      </c>
      <c r="Y616" s="7" t="n">
        <v>5704</v>
      </c>
      <c r="Z616" s="7" t="n">
        <v>1348</v>
      </c>
      <c r="AA616" s="10" t="n">
        <v>0.45</v>
      </c>
      <c r="AB616" s="11" t="n">
        <v>114.8</v>
      </c>
      <c r="AC616" s="10" t="n">
        <v>6.83</v>
      </c>
      <c r="AD616" s="12" t="n">
        <v>0.7</v>
      </c>
      <c r="AE616" s="12" t="n">
        <v>0.93</v>
      </c>
      <c r="AF616" s="12" t="n">
        <v>0.95</v>
      </c>
      <c r="AG616" s="7" t="n">
        <v>56</v>
      </c>
      <c r="AH616" s="7" t="n">
        <v>1530</v>
      </c>
      <c r="AI616" s="5" t="s">
        <v>1945</v>
      </c>
    </row>
    <row r="617" customFormat="false" ht="15" hidden="false" customHeight="false" outlineLevel="0" collapsed="false">
      <c r="A617" s="5" t="s">
        <v>83</v>
      </c>
      <c r="B617" s="5" t="s">
        <v>1946</v>
      </c>
      <c r="C617" s="5"/>
      <c r="D617" s="5" t="s">
        <v>83</v>
      </c>
      <c r="E617" s="5" t="s">
        <v>53</v>
      </c>
      <c r="F617" s="6" t="n">
        <v>27061.04</v>
      </c>
      <c r="G617" s="7" t="n">
        <v>1792</v>
      </c>
      <c r="H617" s="8" t="n">
        <v>-0.196</v>
      </c>
      <c r="I617" s="8" t="n">
        <v>-0.1888</v>
      </c>
      <c r="J617" s="7" t="n">
        <v>99</v>
      </c>
      <c r="K617" s="5" t="n">
        <v>8</v>
      </c>
      <c r="L617" s="5" t="n">
        <v>11</v>
      </c>
      <c r="M617" s="5" t="n">
        <v>4</v>
      </c>
      <c r="N617" s="9" t="s">
        <v>54</v>
      </c>
      <c r="O617" s="5"/>
      <c r="P617" s="5"/>
      <c r="Q617" s="5"/>
      <c r="R617" s="7"/>
      <c r="S617" s="7"/>
      <c r="T617" s="5"/>
      <c r="U617" s="6"/>
      <c r="V617" s="7"/>
      <c r="W617" s="5"/>
      <c r="X617" s="7"/>
      <c r="Y617" s="7"/>
      <c r="Z617" s="7"/>
      <c r="AA617" s="10"/>
      <c r="AB617" s="11"/>
      <c r="AC617" s="10"/>
      <c r="AD617" s="12"/>
      <c r="AE617" s="12"/>
      <c r="AF617" s="12"/>
      <c r="AG617" s="7"/>
      <c r="AH617" s="7"/>
      <c r="AI617" s="5" t="s">
        <v>1947</v>
      </c>
    </row>
    <row r="618" customFormat="false" ht="15" hidden="false" customHeight="false" outlineLevel="0" collapsed="false">
      <c r="A618" s="5" t="s">
        <v>83</v>
      </c>
      <c r="B618" s="5" t="s">
        <v>1948</v>
      </c>
      <c r="C618" s="5"/>
      <c r="D618" s="5" t="s">
        <v>83</v>
      </c>
      <c r="E618" s="5" t="s">
        <v>53</v>
      </c>
      <c r="F618" s="6" t="n">
        <v>27058.54</v>
      </c>
      <c r="G618" s="7" t="n">
        <v>2087</v>
      </c>
      <c r="H618" s="8" t="n">
        <v>0.9182</v>
      </c>
      <c r="I618" s="8" t="n">
        <v>0.9468</v>
      </c>
      <c r="J618" s="7" t="n">
        <v>143</v>
      </c>
      <c r="K618" s="5" t="n">
        <v>10</v>
      </c>
      <c r="L618" s="5" t="n">
        <v>28</v>
      </c>
      <c r="M618" s="5" t="n">
        <v>4.6</v>
      </c>
      <c r="N618" s="9" t="s">
        <v>54</v>
      </c>
      <c r="O618" s="5"/>
      <c r="P618" s="5"/>
      <c r="Q618" s="5"/>
      <c r="R618" s="7"/>
      <c r="S618" s="7"/>
      <c r="T618" s="5"/>
      <c r="U618" s="6"/>
      <c r="V618" s="7"/>
      <c r="W618" s="5"/>
      <c r="X618" s="7"/>
      <c r="Y618" s="7"/>
      <c r="Z618" s="7"/>
      <c r="AA618" s="10"/>
      <c r="AB618" s="11"/>
      <c r="AC618" s="10"/>
      <c r="AD618" s="12"/>
      <c r="AE618" s="12"/>
      <c r="AF618" s="12"/>
      <c r="AG618" s="7"/>
      <c r="AH618" s="7"/>
      <c r="AI618" s="5" t="s">
        <v>1949</v>
      </c>
    </row>
    <row r="619" customFormat="false" ht="15" hidden="false" customHeight="false" outlineLevel="0" collapsed="false">
      <c r="A619" s="5" t="s">
        <v>83</v>
      </c>
      <c r="B619" s="5" t="s">
        <v>1950</v>
      </c>
      <c r="C619" s="5" t="s">
        <v>1951</v>
      </c>
      <c r="D619" s="5" t="s">
        <v>83</v>
      </c>
      <c r="E619" s="5" t="s">
        <v>60</v>
      </c>
      <c r="F619" s="6" t="n">
        <v>26912.84</v>
      </c>
      <c r="G619" s="7" t="n">
        <v>1168</v>
      </c>
      <c r="H619" s="8" t="n">
        <v>154.6505</v>
      </c>
      <c r="I619" s="8" t="n">
        <v>82.4286</v>
      </c>
      <c r="J619" s="7" t="n">
        <v>47</v>
      </c>
      <c r="K619" s="5" t="n">
        <v>19</v>
      </c>
      <c r="L619" s="5" t="n">
        <v>451</v>
      </c>
      <c r="M619" s="5" t="n">
        <v>3.6</v>
      </c>
      <c r="N619" s="9" t="s">
        <v>54</v>
      </c>
      <c r="O619" s="5"/>
      <c r="P619" s="5"/>
      <c r="Q619" s="5"/>
      <c r="R619" s="7"/>
      <c r="S619" s="7"/>
      <c r="T619" s="5"/>
      <c r="U619" s="6"/>
      <c r="V619" s="7"/>
      <c r="W619" s="5"/>
      <c r="X619" s="7"/>
      <c r="Y619" s="7"/>
      <c r="Z619" s="7"/>
      <c r="AA619" s="10"/>
      <c r="AB619" s="11"/>
      <c r="AC619" s="10"/>
      <c r="AD619" s="12"/>
      <c r="AE619" s="12"/>
      <c r="AF619" s="12"/>
      <c r="AG619" s="7"/>
      <c r="AH619" s="7"/>
      <c r="AI619" s="5" t="s">
        <v>1952</v>
      </c>
    </row>
    <row r="620" customFormat="false" ht="15" hidden="false" customHeight="false" outlineLevel="0" collapsed="false">
      <c r="A620" s="5" t="s">
        <v>83</v>
      </c>
      <c r="B620" s="5" t="s">
        <v>1953</v>
      </c>
      <c r="C620" s="5" t="s">
        <v>1954</v>
      </c>
      <c r="D620" s="5" t="s">
        <v>83</v>
      </c>
      <c r="E620" s="5" t="s">
        <v>53</v>
      </c>
      <c r="F620" s="6" t="n">
        <v>26606.75</v>
      </c>
      <c r="G620" s="7" t="n">
        <v>1360</v>
      </c>
      <c r="H620" s="8" t="n">
        <v>-0.2144</v>
      </c>
      <c r="I620" s="8" t="n">
        <v>-0.4148</v>
      </c>
      <c r="J620" s="7" t="n">
        <v>426</v>
      </c>
      <c r="K620" s="5" t="n">
        <v>14</v>
      </c>
      <c r="L620" s="5" t="n">
        <v>16</v>
      </c>
      <c r="M620" s="5" t="n">
        <v>4.3</v>
      </c>
      <c r="N620" s="9" t="s">
        <v>54</v>
      </c>
      <c r="O620" s="5"/>
      <c r="P620" s="5"/>
      <c r="Q620" s="5"/>
      <c r="R620" s="7"/>
      <c r="S620" s="7"/>
      <c r="T620" s="5"/>
      <c r="U620" s="6"/>
      <c r="V620" s="7"/>
      <c r="W620" s="5"/>
      <c r="X620" s="7"/>
      <c r="Y620" s="7"/>
      <c r="Z620" s="7"/>
      <c r="AA620" s="10"/>
      <c r="AB620" s="11"/>
      <c r="AC620" s="10"/>
      <c r="AD620" s="12"/>
      <c r="AE620" s="12"/>
      <c r="AF620" s="12"/>
      <c r="AG620" s="7"/>
      <c r="AH620" s="7"/>
      <c r="AI620" s="5" t="s">
        <v>1955</v>
      </c>
    </row>
    <row r="621" customFormat="false" ht="15" hidden="false" customHeight="false" outlineLevel="0" collapsed="false">
      <c r="A621" s="5" t="s">
        <v>83</v>
      </c>
      <c r="B621" s="5" t="s">
        <v>1956</v>
      </c>
      <c r="C621" s="5" t="s">
        <v>1957</v>
      </c>
      <c r="D621" s="5" t="s">
        <v>83</v>
      </c>
      <c r="E621" s="5" t="s">
        <v>60</v>
      </c>
      <c r="F621" s="6" t="n">
        <v>25120.61</v>
      </c>
      <c r="G621" s="7" t="n">
        <v>552</v>
      </c>
      <c r="H621" s="8" t="n">
        <v>-0.1201</v>
      </c>
      <c r="I621" s="8" t="n">
        <v>-0.295</v>
      </c>
      <c r="J621" s="7" t="n">
        <v>223</v>
      </c>
      <c r="K621" s="5" t="n">
        <v>1</v>
      </c>
      <c r="L621" s="5" t="n">
        <v>2</v>
      </c>
      <c r="M621" s="5" t="n">
        <v>4.6</v>
      </c>
      <c r="N621" s="9" t="s">
        <v>54</v>
      </c>
      <c r="O621" s="5"/>
      <c r="P621" s="5"/>
      <c r="Q621" s="5"/>
      <c r="R621" s="7"/>
      <c r="S621" s="7"/>
      <c r="T621" s="5"/>
      <c r="U621" s="6"/>
      <c r="V621" s="7"/>
      <c r="W621" s="5"/>
      <c r="X621" s="7"/>
      <c r="Y621" s="7"/>
      <c r="Z621" s="7"/>
      <c r="AA621" s="10"/>
      <c r="AB621" s="11"/>
      <c r="AC621" s="10"/>
      <c r="AD621" s="12"/>
      <c r="AE621" s="12"/>
      <c r="AF621" s="12"/>
      <c r="AG621" s="7"/>
      <c r="AH621" s="7"/>
      <c r="AI621" s="5" t="s">
        <v>1958</v>
      </c>
    </row>
    <row r="622" customFormat="false" ht="15" hidden="false" customHeight="false" outlineLevel="0" collapsed="false">
      <c r="A622" s="5" t="s">
        <v>83</v>
      </c>
      <c r="B622" s="5" t="s">
        <v>1959</v>
      </c>
      <c r="C622" s="5" t="s">
        <v>1960</v>
      </c>
      <c r="D622" s="5" t="s">
        <v>83</v>
      </c>
      <c r="E622" s="5" t="s">
        <v>53</v>
      </c>
      <c r="F622" s="6" t="n">
        <v>24693.32</v>
      </c>
      <c r="G622" s="7" t="n">
        <v>2447</v>
      </c>
      <c r="H622" s="8" t="n">
        <v>0.2257</v>
      </c>
      <c r="I622" s="8" t="n">
        <v>0.3864</v>
      </c>
      <c r="J622" s="7" t="n">
        <v>142</v>
      </c>
      <c r="K622" s="5" t="n">
        <v>21</v>
      </c>
      <c r="L622" s="5" t="n">
        <v>32</v>
      </c>
      <c r="M622" s="5" t="n">
        <v>4.4</v>
      </c>
      <c r="N622" s="9" t="s">
        <v>54</v>
      </c>
      <c r="O622" s="5"/>
      <c r="P622" s="5"/>
      <c r="Q622" s="5"/>
      <c r="R622" s="7"/>
      <c r="S622" s="7"/>
      <c r="T622" s="5"/>
      <c r="U622" s="6"/>
      <c r="V622" s="7"/>
      <c r="W622" s="5"/>
      <c r="X622" s="7"/>
      <c r="Y622" s="7"/>
      <c r="Z622" s="7"/>
      <c r="AA622" s="10"/>
      <c r="AB622" s="11"/>
      <c r="AC622" s="10"/>
      <c r="AD622" s="12"/>
      <c r="AE622" s="12"/>
      <c r="AF622" s="12"/>
      <c r="AG622" s="7"/>
      <c r="AH622" s="7"/>
      <c r="AI622" s="5" t="s">
        <v>1961</v>
      </c>
    </row>
    <row r="623" customFormat="false" ht="15" hidden="false" customHeight="false" outlineLevel="0" collapsed="false">
      <c r="A623" s="5" t="s">
        <v>83</v>
      </c>
      <c r="B623" s="5" t="s">
        <v>1962</v>
      </c>
      <c r="C623" s="5"/>
      <c r="D623" s="5" t="s">
        <v>83</v>
      </c>
      <c r="E623" s="5" t="s">
        <v>60</v>
      </c>
      <c r="F623" s="6" t="n">
        <v>24326.32</v>
      </c>
      <c r="G623" s="7" t="n">
        <v>1466</v>
      </c>
      <c r="H623" s="8" t="n">
        <v>1.913</v>
      </c>
      <c r="I623" s="8" t="n">
        <v>1.5901</v>
      </c>
      <c r="J623" s="7" t="n">
        <v>309</v>
      </c>
      <c r="K623" s="5" t="n">
        <v>30</v>
      </c>
      <c r="L623" s="5" t="n">
        <v>68</v>
      </c>
      <c r="M623" s="5" t="n">
        <v>4.2</v>
      </c>
      <c r="N623" s="9" t="s">
        <v>54</v>
      </c>
      <c r="O623" s="5" t="s">
        <v>258</v>
      </c>
      <c r="P623" s="5"/>
      <c r="Q623" s="5"/>
      <c r="R623" s="7"/>
      <c r="S623" s="7"/>
      <c r="T623" s="5" t="s">
        <v>1963</v>
      </c>
      <c r="U623" s="6" t="n">
        <v>30392.25</v>
      </c>
      <c r="V623" s="7" t="n">
        <v>2321</v>
      </c>
      <c r="W623" s="5" t="n">
        <v>78</v>
      </c>
      <c r="X623" s="7" t="n">
        <v>236</v>
      </c>
      <c r="Y623" s="7" t="n">
        <v>380</v>
      </c>
      <c r="Z623" s="7" t="n">
        <v>56</v>
      </c>
      <c r="AA623" s="10" t="n">
        <v>1.6</v>
      </c>
      <c r="AB623" s="11" t="n">
        <v>25.86</v>
      </c>
      <c r="AC623" s="10"/>
      <c r="AD623" s="12"/>
      <c r="AE623" s="12"/>
      <c r="AF623" s="12"/>
      <c r="AG623" s="7" t="n">
        <v>72</v>
      </c>
      <c r="AH623" s="7" t="n">
        <v>1883</v>
      </c>
      <c r="AI623" s="5" t="s">
        <v>1964</v>
      </c>
    </row>
    <row r="624" customFormat="false" ht="15" hidden="false" customHeight="false" outlineLevel="0" collapsed="false">
      <c r="A624" s="5" t="s">
        <v>83</v>
      </c>
      <c r="B624" s="5" t="s">
        <v>1965</v>
      </c>
      <c r="C624" s="5" t="s">
        <v>1966</v>
      </c>
      <c r="D624" s="5" t="s">
        <v>83</v>
      </c>
      <c r="E624" s="5" t="s">
        <v>53</v>
      </c>
      <c r="F624" s="6" t="n">
        <v>24023.52</v>
      </c>
      <c r="G624" s="7" t="n">
        <v>1880</v>
      </c>
      <c r="H624" s="8" t="n">
        <v>0.5171</v>
      </c>
      <c r="I624" s="8" t="n">
        <v>0.4992</v>
      </c>
      <c r="J624" s="7" t="n">
        <v>285</v>
      </c>
      <c r="K624" s="5" t="n">
        <v>6</v>
      </c>
      <c r="L624" s="5" t="n">
        <v>10</v>
      </c>
      <c r="M624" s="5" t="n">
        <v>5</v>
      </c>
      <c r="N624" s="9" t="s">
        <v>54</v>
      </c>
      <c r="O624" s="5"/>
      <c r="P624" s="5"/>
      <c r="Q624" s="5"/>
      <c r="R624" s="7"/>
      <c r="S624" s="7"/>
      <c r="T624" s="5"/>
      <c r="U624" s="6"/>
      <c r="V624" s="7"/>
      <c r="W624" s="5"/>
      <c r="X624" s="7"/>
      <c r="Y624" s="7"/>
      <c r="Z624" s="7"/>
      <c r="AA624" s="10"/>
      <c r="AB624" s="11"/>
      <c r="AC624" s="10"/>
      <c r="AD624" s="12"/>
      <c r="AE624" s="12"/>
      <c r="AF624" s="12"/>
      <c r="AG624" s="7"/>
      <c r="AH624" s="7"/>
      <c r="AI624" s="5" t="s">
        <v>1967</v>
      </c>
    </row>
    <row r="625" customFormat="false" ht="15" hidden="false" customHeight="false" outlineLevel="0" collapsed="false">
      <c r="A625" s="5" t="s">
        <v>83</v>
      </c>
      <c r="B625" s="5" t="s">
        <v>1968</v>
      </c>
      <c r="C625" s="5" t="s">
        <v>1968</v>
      </c>
      <c r="D625" s="5" t="s">
        <v>83</v>
      </c>
      <c r="E625" s="5" t="s">
        <v>60</v>
      </c>
      <c r="F625" s="6" t="n">
        <v>23974.16</v>
      </c>
      <c r="G625" s="7" t="n">
        <v>2261</v>
      </c>
      <c r="H625" s="8" t="n">
        <v>4.8499</v>
      </c>
      <c r="I625" s="8" t="n">
        <v>2.4414</v>
      </c>
      <c r="J625" s="7" t="n">
        <v>42</v>
      </c>
      <c r="K625" s="5" t="n">
        <v>2</v>
      </c>
      <c r="L625" s="5" t="n">
        <v>405</v>
      </c>
      <c r="M625" s="5" t="n">
        <v>4.6</v>
      </c>
      <c r="N625" s="9" t="s">
        <v>54</v>
      </c>
      <c r="O625" s="5"/>
      <c r="P625" s="5"/>
      <c r="Q625" s="5"/>
      <c r="R625" s="7"/>
      <c r="S625" s="7"/>
      <c r="T625" s="5"/>
      <c r="U625" s="6"/>
      <c r="V625" s="7"/>
      <c r="W625" s="5"/>
      <c r="X625" s="7"/>
      <c r="Y625" s="7"/>
      <c r="Z625" s="7"/>
      <c r="AA625" s="10"/>
      <c r="AB625" s="11"/>
      <c r="AC625" s="10"/>
      <c r="AD625" s="12"/>
      <c r="AE625" s="12"/>
      <c r="AF625" s="12"/>
      <c r="AG625" s="7"/>
      <c r="AH625" s="7"/>
      <c r="AI625" s="5" t="s">
        <v>1969</v>
      </c>
    </row>
    <row r="626" customFormat="false" ht="15" hidden="false" customHeight="false" outlineLevel="0" collapsed="false">
      <c r="A626" s="5" t="s">
        <v>449</v>
      </c>
      <c r="B626" s="5" t="s">
        <v>1970</v>
      </c>
      <c r="C626" s="5"/>
      <c r="D626" s="5" t="s">
        <v>449</v>
      </c>
      <c r="E626" s="5" t="s">
        <v>53</v>
      </c>
      <c r="F626" s="6" t="n">
        <v>29940.11</v>
      </c>
      <c r="G626" s="7" t="n">
        <v>1535</v>
      </c>
      <c r="H626" s="8" t="n">
        <v>0.706</v>
      </c>
      <c r="I626" s="8" t="n">
        <v>0.5792</v>
      </c>
      <c r="J626" s="7" t="n">
        <v>212</v>
      </c>
      <c r="K626" s="5" t="n">
        <v>37</v>
      </c>
      <c r="L626" s="5" t="n">
        <v>127</v>
      </c>
      <c r="M626" s="5" t="n">
        <v>3</v>
      </c>
      <c r="N626" s="9" t="s">
        <v>54</v>
      </c>
      <c r="O626" s="5"/>
      <c r="P626" s="5"/>
      <c r="Q626" s="5"/>
      <c r="R626" s="7"/>
      <c r="S626" s="7"/>
      <c r="T626" s="5"/>
      <c r="U626" s="6"/>
      <c r="V626" s="7"/>
      <c r="W626" s="5"/>
      <c r="X626" s="7"/>
      <c r="Y626" s="7"/>
      <c r="Z626" s="7"/>
      <c r="AA626" s="10"/>
      <c r="AB626" s="11"/>
      <c r="AC626" s="10"/>
      <c r="AD626" s="12"/>
      <c r="AE626" s="12"/>
      <c r="AF626" s="12"/>
      <c r="AG626" s="7"/>
      <c r="AH626" s="7"/>
      <c r="AI626" s="5" t="s">
        <v>1971</v>
      </c>
    </row>
    <row r="627" customFormat="false" ht="15" hidden="false" customHeight="false" outlineLevel="0" collapsed="false">
      <c r="A627" s="5" t="s">
        <v>449</v>
      </c>
      <c r="B627" s="5" t="s">
        <v>1972</v>
      </c>
      <c r="C627" s="5" t="s">
        <v>1973</v>
      </c>
      <c r="D627" s="5" t="s">
        <v>449</v>
      </c>
      <c r="E627" s="5" t="s">
        <v>60</v>
      </c>
      <c r="F627" s="6" t="n">
        <v>29918.12</v>
      </c>
      <c r="G627" s="7" t="n">
        <v>1505</v>
      </c>
      <c r="H627" s="8" t="n">
        <v>2.1903</v>
      </c>
      <c r="I627" s="8" t="n">
        <v>1.5422</v>
      </c>
      <c r="J627" s="7" t="n">
        <v>418</v>
      </c>
      <c r="K627" s="5" t="n">
        <v>10</v>
      </c>
      <c r="L627" s="5" t="n">
        <v>81</v>
      </c>
      <c r="M627" s="5" t="n">
        <v>4.3</v>
      </c>
      <c r="N627" s="9" t="s">
        <v>54</v>
      </c>
      <c r="O627" s="5"/>
      <c r="P627" s="5" t="s">
        <v>1974</v>
      </c>
      <c r="Q627" s="14" t="s">
        <v>1975</v>
      </c>
      <c r="R627" s="7" t="n">
        <v>87060</v>
      </c>
      <c r="S627" s="7" t="n">
        <v>1617</v>
      </c>
      <c r="T627" s="5" t="s">
        <v>1976</v>
      </c>
      <c r="U627" s="6" t="n">
        <v>487482.59</v>
      </c>
      <c r="V627" s="7" t="n">
        <v>36173</v>
      </c>
      <c r="W627" s="5" t="n">
        <v>96</v>
      </c>
      <c r="X627" s="7" t="n">
        <v>606</v>
      </c>
      <c r="Y627" s="7" t="n">
        <v>2337</v>
      </c>
      <c r="Z627" s="7" t="n">
        <v>795</v>
      </c>
      <c r="AA627" s="10" t="n">
        <v>4.95</v>
      </c>
      <c r="AB627" s="11" t="n">
        <v>141</v>
      </c>
      <c r="AC627" s="10" t="n">
        <v>13.98</v>
      </c>
      <c r="AD627" s="12" t="n">
        <v>0.83</v>
      </c>
      <c r="AE627" s="12" t="n">
        <v>0.96</v>
      </c>
      <c r="AF627" s="12" t="n">
        <v>0.9</v>
      </c>
      <c r="AG627" s="7" t="n">
        <v>213</v>
      </c>
      <c r="AH627" s="7" t="n">
        <v>1177</v>
      </c>
      <c r="AI627" s="5" t="s">
        <v>1977</v>
      </c>
    </row>
    <row r="628" customFormat="false" ht="15" hidden="false" customHeight="false" outlineLevel="0" collapsed="false">
      <c r="A628" s="5" t="s">
        <v>449</v>
      </c>
      <c r="B628" s="5" t="s">
        <v>1978</v>
      </c>
      <c r="C628" s="5" t="s">
        <v>1979</v>
      </c>
      <c r="D628" s="5" t="s">
        <v>449</v>
      </c>
      <c r="E628" s="5" t="s">
        <v>53</v>
      </c>
      <c r="F628" s="6" t="n">
        <v>29664.95</v>
      </c>
      <c r="G628" s="7" t="n">
        <v>2011</v>
      </c>
      <c r="H628" s="8" t="n">
        <v>-0.1736</v>
      </c>
      <c r="I628" s="8" t="n">
        <v>-0.2061</v>
      </c>
      <c r="J628" s="7" t="n">
        <v>244</v>
      </c>
      <c r="K628" s="5" t="n">
        <v>23</v>
      </c>
      <c r="L628" s="5" t="n">
        <v>56</v>
      </c>
      <c r="M628" s="5" t="n">
        <v>4.5</v>
      </c>
      <c r="N628" s="9" t="s">
        <v>54</v>
      </c>
      <c r="O628" s="5"/>
      <c r="P628" s="5"/>
      <c r="Q628" s="5"/>
      <c r="R628" s="7"/>
      <c r="S628" s="7"/>
      <c r="T628" s="5"/>
      <c r="U628" s="6"/>
      <c r="V628" s="7"/>
      <c r="W628" s="5"/>
      <c r="X628" s="7"/>
      <c r="Y628" s="7"/>
      <c r="Z628" s="7"/>
      <c r="AA628" s="10"/>
      <c r="AB628" s="11"/>
      <c r="AC628" s="10"/>
      <c r="AD628" s="12"/>
      <c r="AE628" s="12"/>
      <c r="AF628" s="12"/>
      <c r="AG628" s="7"/>
      <c r="AH628" s="7"/>
      <c r="AI628" s="5" t="s">
        <v>1980</v>
      </c>
    </row>
    <row r="629" customFormat="false" ht="15" hidden="false" customHeight="false" outlineLevel="0" collapsed="false">
      <c r="A629" s="5" t="s">
        <v>449</v>
      </c>
      <c r="B629" s="5" t="s">
        <v>1981</v>
      </c>
      <c r="C629" s="5"/>
      <c r="D629" s="5" t="s">
        <v>449</v>
      </c>
      <c r="E629" s="5" t="s">
        <v>53</v>
      </c>
      <c r="F629" s="6" t="n">
        <v>26971.55</v>
      </c>
      <c r="G629" s="7" t="n">
        <v>1638</v>
      </c>
      <c r="H629" s="8" t="n">
        <v>11.9628</v>
      </c>
      <c r="I629" s="8" t="n">
        <v>9.8477</v>
      </c>
      <c r="J629" s="7" t="n">
        <v>321</v>
      </c>
      <c r="K629" s="5" t="n">
        <v>8</v>
      </c>
      <c r="L629" s="5" t="n">
        <v>35</v>
      </c>
      <c r="M629" s="5" t="n">
        <v>5</v>
      </c>
      <c r="N629" s="9" t="s">
        <v>54</v>
      </c>
      <c r="O629" s="5"/>
      <c r="P629" s="5"/>
      <c r="Q629" s="5"/>
      <c r="R629" s="7"/>
      <c r="S629" s="7"/>
      <c r="T629" s="5"/>
      <c r="U629" s="6"/>
      <c r="V629" s="7"/>
      <c r="W629" s="5"/>
      <c r="X629" s="7"/>
      <c r="Y629" s="7"/>
      <c r="Z629" s="7"/>
      <c r="AA629" s="10"/>
      <c r="AB629" s="11"/>
      <c r="AC629" s="10"/>
      <c r="AD629" s="12"/>
      <c r="AE629" s="12"/>
      <c r="AF629" s="12"/>
      <c r="AG629" s="7"/>
      <c r="AH629" s="7"/>
      <c r="AI629" s="5" t="s">
        <v>1982</v>
      </c>
    </row>
    <row r="630" customFormat="false" ht="15" hidden="false" customHeight="false" outlineLevel="0" collapsed="false">
      <c r="A630" s="5" t="s">
        <v>449</v>
      </c>
      <c r="B630" s="5" t="s">
        <v>1983</v>
      </c>
      <c r="C630" s="5" t="s">
        <v>1984</v>
      </c>
      <c r="D630" s="5" t="s">
        <v>449</v>
      </c>
      <c r="E630" s="5" t="s">
        <v>60</v>
      </c>
      <c r="F630" s="6" t="n">
        <v>26965.49</v>
      </c>
      <c r="G630" s="7" t="n">
        <v>893</v>
      </c>
      <c r="H630" s="8" t="n">
        <v>0.8467</v>
      </c>
      <c r="I630" s="8" t="n">
        <v>0.4883</v>
      </c>
      <c r="J630" s="7" t="n">
        <v>279</v>
      </c>
      <c r="K630" s="5" t="n">
        <v>23</v>
      </c>
      <c r="L630" s="5" t="n">
        <v>60</v>
      </c>
      <c r="M630" s="5" t="n">
        <v>3.4</v>
      </c>
      <c r="N630" s="9" t="s">
        <v>54</v>
      </c>
      <c r="O630" s="5"/>
      <c r="P630" s="5" t="s">
        <v>1985</v>
      </c>
      <c r="Q630" s="14" t="s">
        <v>1986</v>
      </c>
      <c r="R630" s="7" t="n">
        <v>41890</v>
      </c>
      <c r="S630" s="7" t="n">
        <v>3367</v>
      </c>
      <c r="T630" s="5" t="s">
        <v>1987</v>
      </c>
      <c r="U630" s="6" t="n">
        <v>868902.75</v>
      </c>
      <c r="V630" s="7" t="n">
        <v>38019</v>
      </c>
      <c r="W630" s="5" t="n">
        <v>103</v>
      </c>
      <c r="X630" s="7" t="n">
        <v>567</v>
      </c>
      <c r="Y630" s="7" t="n">
        <v>1998</v>
      </c>
      <c r="Z630" s="7" t="n">
        <v>1325</v>
      </c>
      <c r="AA630" s="10" t="n">
        <v>1.12</v>
      </c>
      <c r="AB630" s="11" t="n">
        <v>119</v>
      </c>
      <c r="AC630" s="10" t="n">
        <v>21.05</v>
      </c>
      <c r="AD630" s="12" t="n">
        <v>0.73</v>
      </c>
      <c r="AE630" s="12" t="n">
        <v>0.88</v>
      </c>
      <c r="AF630" s="12" t="n">
        <v>0.98</v>
      </c>
      <c r="AG630" s="7" t="n">
        <v>313</v>
      </c>
      <c r="AH630" s="7" t="n">
        <v>1736</v>
      </c>
      <c r="AI630" s="5" t="s">
        <v>1988</v>
      </c>
    </row>
    <row r="631" customFormat="false" ht="15" hidden="false" customHeight="false" outlineLevel="0" collapsed="false">
      <c r="A631" s="5" t="s">
        <v>449</v>
      </c>
      <c r="B631" s="5" t="s">
        <v>1989</v>
      </c>
      <c r="C631" s="5" t="s">
        <v>1990</v>
      </c>
      <c r="D631" s="5" t="s">
        <v>449</v>
      </c>
      <c r="E631" s="5" t="s">
        <v>53</v>
      </c>
      <c r="F631" s="6" t="n">
        <v>26819.36</v>
      </c>
      <c r="G631" s="7" t="n">
        <v>995</v>
      </c>
      <c r="H631" s="8" t="n">
        <v>0.0342</v>
      </c>
      <c r="I631" s="8" t="n">
        <v>-0.1777</v>
      </c>
      <c r="J631" s="7" t="n">
        <v>501</v>
      </c>
      <c r="K631" s="5" t="n">
        <v>27</v>
      </c>
      <c r="L631" s="5" t="n">
        <v>58</v>
      </c>
      <c r="M631" s="5" t="n">
        <v>4.2</v>
      </c>
      <c r="N631" s="9" t="s">
        <v>54</v>
      </c>
      <c r="O631" s="5"/>
      <c r="P631" s="5"/>
      <c r="Q631" s="5"/>
      <c r="R631" s="7"/>
      <c r="S631" s="7"/>
      <c r="T631" s="5"/>
      <c r="U631" s="6"/>
      <c r="V631" s="7"/>
      <c r="W631" s="5"/>
      <c r="X631" s="7"/>
      <c r="Y631" s="7"/>
      <c r="Z631" s="7"/>
      <c r="AA631" s="10"/>
      <c r="AB631" s="11"/>
      <c r="AC631" s="10"/>
      <c r="AD631" s="12"/>
      <c r="AE631" s="12"/>
      <c r="AF631" s="12"/>
      <c r="AG631" s="7"/>
      <c r="AH631" s="7"/>
      <c r="AI631" s="5" t="s">
        <v>1991</v>
      </c>
    </row>
    <row r="632" customFormat="false" ht="15" hidden="false" customHeight="false" outlineLevel="0" collapsed="false">
      <c r="A632" s="5" t="s">
        <v>449</v>
      </c>
      <c r="B632" s="5" t="s">
        <v>1992</v>
      </c>
      <c r="C632" s="5" t="s">
        <v>1993</v>
      </c>
      <c r="D632" s="5" t="s">
        <v>449</v>
      </c>
      <c r="E632" s="5" t="s">
        <v>53</v>
      </c>
      <c r="F632" s="6" t="n">
        <v>26799.92</v>
      </c>
      <c r="G632" s="7" t="n">
        <v>1307</v>
      </c>
      <c r="H632" s="8" t="n">
        <v>-0.0518</v>
      </c>
      <c r="I632" s="8" t="n">
        <v>-0.1606</v>
      </c>
      <c r="J632" s="7" t="n">
        <v>183</v>
      </c>
      <c r="K632" s="5" t="n">
        <v>20</v>
      </c>
      <c r="L632" s="5" t="n">
        <v>96</v>
      </c>
      <c r="M632" s="5" t="n">
        <v>4.7</v>
      </c>
      <c r="N632" s="9" t="s">
        <v>54</v>
      </c>
      <c r="O632" s="5"/>
      <c r="P632" s="5"/>
      <c r="Q632" s="5"/>
      <c r="R632" s="7"/>
      <c r="S632" s="7"/>
      <c r="T632" s="5"/>
      <c r="U632" s="6"/>
      <c r="V632" s="7"/>
      <c r="W632" s="5"/>
      <c r="X632" s="7"/>
      <c r="Y632" s="7"/>
      <c r="Z632" s="7"/>
      <c r="AA632" s="10"/>
      <c r="AB632" s="11"/>
      <c r="AC632" s="10"/>
      <c r="AD632" s="12"/>
      <c r="AE632" s="12"/>
      <c r="AF632" s="12"/>
      <c r="AG632" s="7"/>
      <c r="AH632" s="7"/>
      <c r="AI632" s="5" t="s">
        <v>1994</v>
      </c>
    </row>
    <row r="633" customFormat="false" ht="15" hidden="false" customHeight="false" outlineLevel="0" collapsed="false">
      <c r="A633" s="5" t="s">
        <v>449</v>
      </c>
      <c r="B633" s="5" t="s">
        <v>1995</v>
      </c>
      <c r="C633" s="5" t="s">
        <v>1996</v>
      </c>
      <c r="D633" s="5" t="s">
        <v>449</v>
      </c>
      <c r="E633" s="5" t="s">
        <v>53</v>
      </c>
      <c r="F633" s="6" t="n">
        <v>26729.14</v>
      </c>
      <c r="G633" s="7" t="n">
        <v>2608</v>
      </c>
      <c r="H633" s="8" t="n">
        <v>-0.4065</v>
      </c>
      <c r="I633" s="8" t="n">
        <v>-0.4074</v>
      </c>
      <c r="J633" s="7" t="n">
        <v>282</v>
      </c>
      <c r="K633" s="5" t="n">
        <v>31</v>
      </c>
      <c r="L633" s="5" t="n">
        <v>224</v>
      </c>
      <c r="M633" s="5" t="n">
        <v>3.2</v>
      </c>
      <c r="N633" s="9" t="s">
        <v>54</v>
      </c>
      <c r="O633" s="5"/>
      <c r="P633" s="5"/>
      <c r="Q633" s="5"/>
      <c r="R633" s="7"/>
      <c r="S633" s="7"/>
      <c r="T633" s="5"/>
      <c r="U633" s="6"/>
      <c r="V633" s="7"/>
      <c r="W633" s="5"/>
      <c r="X633" s="7"/>
      <c r="Y633" s="7"/>
      <c r="Z633" s="7"/>
      <c r="AA633" s="10"/>
      <c r="AB633" s="11"/>
      <c r="AC633" s="10"/>
      <c r="AD633" s="12"/>
      <c r="AE633" s="12"/>
      <c r="AF633" s="12"/>
      <c r="AG633" s="7"/>
      <c r="AH633" s="7"/>
      <c r="AI633" s="5" t="s">
        <v>1997</v>
      </c>
    </row>
    <row r="634" customFormat="false" ht="15" hidden="false" customHeight="false" outlineLevel="0" collapsed="false">
      <c r="A634" s="5" t="s">
        <v>449</v>
      </c>
      <c r="B634" s="5" t="s">
        <v>1998</v>
      </c>
      <c r="C634" s="5" t="s">
        <v>1999</v>
      </c>
      <c r="D634" s="5" t="s">
        <v>449</v>
      </c>
      <c r="E634" s="5" t="s">
        <v>53</v>
      </c>
      <c r="F634" s="6" t="n">
        <v>26527.84</v>
      </c>
      <c r="G634" s="7" t="n">
        <v>1558</v>
      </c>
      <c r="H634" s="8" t="n">
        <v>-0.4978</v>
      </c>
      <c r="I634" s="8" t="n">
        <v>-0.5088</v>
      </c>
      <c r="J634" s="7" t="n">
        <v>126</v>
      </c>
      <c r="K634" s="5" t="n">
        <v>14</v>
      </c>
      <c r="L634" s="5" t="n">
        <v>17</v>
      </c>
      <c r="M634" s="5" t="n">
        <v>4.6</v>
      </c>
      <c r="N634" s="9" t="s">
        <v>54</v>
      </c>
      <c r="O634" s="5"/>
      <c r="P634" s="5"/>
      <c r="Q634" s="5"/>
      <c r="R634" s="7"/>
      <c r="S634" s="7"/>
      <c r="T634" s="5"/>
      <c r="U634" s="6"/>
      <c r="V634" s="7"/>
      <c r="W634" s="5"/>
      <c r="X634" s="7"/>
      <c r="Y634" s="7"/>
      <c r="Z634" s="7"/>
      <c r="AA634" s="10"/>
      <c r="AB634" s="11"/>
      <c r="AC634" s="10"/>
      <c r="AD634" s="12"/>
      <c r="AE634" s="12"/>
      <c r="AF634" s="12"/>
      <c r="AG634" s="7"/>
      <c r="AH634" s="7"/>
      <c r="AI634" s="5" t="s">
        <v>2000</v>
      </c>
    </row>
    <row r="635" customFormat="false" ht="15" hidden="false" customHeight="false" outlineLevel="0" collapsed="false">
      <c r="A635" s="5" t="s">
        <v>449</v>
      </c>
      <c r="B635" s="5" t="s">
        <v>2001</v>
      </c>
      <c r="C635" s="5" t="s">
        <v>2002</v>
      </c>
      <c r="D635" s="5" t="s">
        <v>449</v>
      </c>
      <c r="E635" s="5" t="s">
        <v>53</v>
      </c>
      <c r="F635" s="6" t="n">
        <v>26403.99</v>
      </c>
      <c r="G635" s="7" t="n">
        <v>1481</v>
      </c>
      <c r="H635" s="8" t="n">
        <v>0.1135</v>
      </c>
      <c r="I635" s="8" t="n">
        <v>0.1323</v>
      </c>
      <c r="J635" s="7" t="n">
        <v>176</v>
      </c>
      <c r="K635" s="5" t="n">
        <v>50</v>
      </c>
      <c r="L635" s="5" t="n">
        <v>75</v>
      </c>
      <c r="M635" s="5" t="n">
        <v>3.9</v>
      </c>
      <c r="N635" s="9" t="s">
        <v>54</v>
      </c>
      <c r="O635" s="5"/>
      <c r="P635" s="5"/>
      <c r="Q635" s="5"/>
      <c r="R635" s="7"/>
      <c r="S635" s="7"/>
      <c r="T635" s="5"/>
      <c r="U635" s="6"/>
      <c r="V635" s="7"/>
      <c r="W635" s="5"/>
      <c r="X635" s="7"/>
      <c r="Y635" s="7"/>
      <c r="Z635" s="7"/>
      <c r="AA635" s="10"/>
      <c r="AB635" s="11"/>
      <c r="AC635" s="10"/>
      <c r="AD635" s="12"/>
      <c r="AE635" s="12"/>
      <c r="AF635" s="12"/>
      <c r="AG635" s="7"/>
      <c r="AH635" s="7"/>
      <c r="AI635" s="5" t="s">
        <v>2003</v>
      </c>
    </row>
    <row r="636" customFormat="false" ht="15" hidden="false" customHeight="false" outlineLevel="0" collapsed="false">
      <c r="A636" s="5" t="s">
        <v>449</v>
      </c>
      <c r="B636" s="5" t="s">
        <v>2004</v>
      </c>
      <c r="C636" s="5" t="s">
        <v>2005</v>
      </c>
      <c r="D636" s="5" t="s">
        <v>449</v>
      </c>
      <c r="E636" s="5" t="s">
        <v>60</v>
      </c>
      <c r="F636" s="6" t="n">
        <v>26400.6</v>
      </c>
      <c r="G636" s="7" t="n">
        <v>1043</v>
      </c>
      <c r="H636" s="8" t="n">
        <v>0.6533</v>
      </c>
      <c r="I636" s="8" t="n">
        <v>0.559</v>
      </c>
      <c r="J636" s="7" t="n">
        <v>314</v>
      </c>
      <c r="K636" s="5" t="n">
        <v>35</v>
      </c>
      <c r="L636" s="5" t="n">
        <v>385</v>
      </c>
      <c r="M636" s="5" t="n">
        <v>4.1</v>
      </c>
      <c r="N636" s="9" t="s">
        <v>54</v>
      </c>
      <c r="O636" s="5"/>
      <c r="P636" s="5"/>
      <c r="Q636" s="5"/>
      <c r="R636" s="7"/>
      <c r="S636" s="7"/>
      <c r="T636" s="5"/>
      <c r="U636" s="6"/>
      <c r="V636" s="7"/>
      <c r="W636" s="5"/>
      <c r="X636" s="7"/>
      <c r="Y636" s="7"/>
      <c r="Z636" s="7"/>
      <c r="AA636" s="10"/>
      <c r="AB636" s="11"/>
      <c r="AC636" s="10"/>
      <c r="AD636" s="12"/>
      <c r="AE636" s="12"/>
      <c r="AF636" s="12"/>
      <c r="AG636" s="7"/>
      <c r="AH636" s="7"/>
      <c r="AI636" s="5" t="s">
        <v>2006</v>
      </c>
    </row>
    <row r="637" customFormat="false" ht="15" hidden="false" customHeight="false" outlineLevel="0" collapsed="false">
      <c r="A637" s="5" t="s">
        <v>449</v>
      </c>
      <c r="B637" s="5" t="s">
        <v>2007</v>
      </c>
      <c r="C637" s="5"/>
      <c r="D637" s="5" t="s">
        <v>449</v>
      </c>
      <c r="E637" s="5" t="s">
        <v>53</v>
      </c>
      <c r="F637" s="6" t="n">
        <v>26340.18</v>
      </c>
      <c r="G637" s="7" t="n">
        <v>1353</v>
      </c>
      <c r="H637" s="8" t="n">
        <v>0.2196</v>
      </c>
      <c r="I637" s="8" t="n">
        <v>-0.0746</v>
      </c>
      <c r="J637" s="7" t="n">
        <v>550</v>
      </c>
      <c r="K637" s="5" t="n">
        <v>19</v>
      </c>
      <c r="L637" s="5" t="n">
        <v>25</v>
      </c>
      <c r="M637" s="5" t="n">
        <v>4.3</v>
      </c>
      <c r="N637" s="9" t="s">
        <v>54</v>
      </c>
      <c r="O637" s="5"/>
      <c r="P637" s="5"/>
      <c r="Q637" s="5"/>
      <c r="R637" s="7"/>
      <c r="S637" s="7"/>
      <c r="T637" s="5"/>
      <c r="U637" s="6"/>
      <c r="V637" s="7"/>
      <c r="W637" s="5"/>
      <c r="X637" s="7"/>
      <c r="Y637" s="7"/>
      <c r="Z637" s="7"/>
      <c r="AA637" s="10"/>
      <c r="AB637" s="11"/>
      <c r="AC637" s="10"/>
      <c r="AD637" s="12"/>
      <c r="AE637" s="12"/>
      <c r="AF637" s="12"/>
      <c r="AG637" s="7"/>
      <c r="AH637" s="7"/>
      <c r="AI637" s="5" t="s">
        <v>2008</v>
      </c>
    </row>
    <row r="638" customFormat="false" ht="15" hidden="false" customHeight="false" outlineLevel="0" collapsed="false">
      <c r="A638" s="5" t="s">
        <v>449</v>
      </c>
      <c r="B638" s="5" t="s">
        <v>2009</v>
      </c>
      <c r="C638" s="5" t="s">
        <v>2010</v>
      </c>
      <c r="D638" s="5" t="s">
        <v>449</v>
      </c>
      <c r="E638" s="5" t="s">
        <v>53</v>
      </c>
      <c r="F638" s="6" t="n">
        <v>26248.44</v>
      </c>
      <c r="G638" s="7" t="n">
        <v>2199</v>
      </c>
      <c r="H638" s="8" t="n">
        <v>0.3844</v>
      </c>
      <c r="I638" s="8" t="n">
        <v>0.2487</v>
      </c>
      <c r="J638" s="7" t="n">
        <v>375</v>
      </c>
      <c r="K638" s="5" t="n">
        <v>48</v>
      </c>
      <c r="L638" s="5" t="n">
        <v>83</v>
      </c>
      <c r="M638" s="5" t="n">
        <v>3.8</v>
      </c>
      <c r="N638" s="9" t="s">
        <v>54</v>
      </c>
      <c r="O638" s="5"/>
      <c r="P638" s="5"/>
      <c r="Q638" s="5"/>
      <c r="R638" s="7"/>
      <c r="S638" s="7"/>
      <c r="T638" s="5"/>
      <c r="U638" s="6"/>
      <c r="V638" s="7"/>
      <c r="W638" s="5"/>
      <c r="X638" s="7"/>
      <c r="Y638" s="7"/>
      <c r="Z638" s="7"/>
      <c r="AA638" s="10"/>
      <c r="AB638" s="11"/>
      <c r="AC638" s="10"/>
      <c r="AD638" s="12"/>
      <c r="AE638" s="12"/>
      <c r="AF638" s="12"/>
      <c r="AG638" s="7"/>
      <c r="AH638" s="7"/>
      <c r="AI638" s="5" t="s">
        <v>2011</v>
      </c>
    </row>
    <row r="639" customFormat="false" ht="15" hidden="false" customHeight="false" outlineLevel="0" collapsed="false">
      <c r="A639" s="5" t="s">
        <v>449</v>
      </c>
      <c r="B639" s="5" t="s">
        <v>2012</v>
      </c>
      <c r="C639" s="5"/>
      <c r="D639" s="5" t="s">
        <v>449</v>
      </c>
      <c r="E639" s="5" t="s">
        <v>53</v>
      </c>
      <c r="F639" s="6" t="n">
        <v>21339.85</v>
      </c>
      <c r="G639" s="7" t="n">
        <v>901</v>
      </c>
      <c r="H639" s="8" t="n">
        <v>-0.3114</v>
      </c>
      <c r="I639" s="8" t="n">
        <v>-0.3708</v>
      </c>
      <c r="J639" s="7" t="n">
        <v>317</v>
      </c>
      <c r="K639" s="5" t="n">
        <v>20</v>
      </c>
      <c r="L639" s="5" t="n">
        <v>124</v>
      </c>
      <c r="M639" s="5" t="n">
        <v>4.5</v>
      </c>
      <c r="N639" s="9" t="s">
        <v>54</v>
      </c>
      <c r="O639" s="5"/>
      <c r="P639" s="5"/>
      <c r="Q639" s="5"/>
      <c r="R639" s="7"/>
      <c r="S639" s="7"/>
      <c r="T639" s="5"/>
      <c r="U639" s="6"/>
      <c r="V639" s="7"/>
      <c r="W639" s="5"/>
      <c r="X639" s="7"/>
      <c r="Y639" s="7"/>
      <c r="Z639" s="7"/>
      <c r="AA639" s="10"/>
      <c r="AB639" s="11"/>
      <c r="AC639" s="10"/>
      <c r="AD639" s="12"/>
      <c r="AE639" s="12"/>
      <c r="AF639" s="12"/>
      <c r="AG639" s="7"/>
      <c r="AH639" s="7"/>
      <c r="AI639" s="5" t="s">
        <v>2013</v>
      </c>
    </row>
    <row r="640" customFormat="false" ht="15" hidden="false" customHeight="false" outlineLevel="0" collapsed="false">
      <c r="A640" s="5" t="s">
        <v>449</v>
      </c>
      <c r="B640" s="5" t="s">
        <v>2014</v>
      </c>
      <c r="C640" s="5" t="s">
        <v>2015</v>
      </c>
      <c r="D640" s="5" t="s">
        <v>449</v>
      </c>
      <c r="E640" s="5" t="s">
        <v>53</v>
      </c>
      <c r="F640" s="6" t="n">
        <v>15718.4</v>
      </c>
      <c r="G640" s="7" t="n">
        <v>896</v>
      </c>
      <c r="H640" s="8" t="n">
        <v>-0.4346</v>
      </c>
      <c r="I640" s="8" t="n">
        <v>-0.4132</v>
      </c>
      <c r="J640" s="7" t="n">
        <v>109</v>
      </c>
      <c r="K640" s="5" t="n">
        <v>2</v>
      </c>
      <c r="L640" s="5" t="n">
        <v>7</v>
      </c>
      <c r="M640" s="5" t="n">
        <v>4.7</v>
      </c>
      <c r="N640" s="9" t="s">
        <v>54</v>
      </c>
      <c r="O640" s="5"/>
      <c r="P640" s="5"/>
      <c r="Q640" s="5"/>
      <c r="R640" s="7"/>
      <c r="S640" s="7"/>
      <c r="T640" s="5"/>
      <c r="U640" s="6"/>
      <c r="V640" s="7"/>
      <c r="W640" s="5"/>
      <c r="X640" s="7"/>
      <c r="Y640" s="7"/>
      <c r="Z640" s="7"/>
      <c r="AA640" s="10"/>
      <c r="AB640" s="11"/>
      <c r="AC640" s="10"/>
      <c r="AD640" s="12"/>
      <c r="AE640" s="12"/>
      <c r="AF640" s="12"/>
      <c r="AG640" s="7"/>
      <c r="AH640" s="7"/>
      <c r="AI640" s="5" t="s">
        <v>2016</v>
      </c>
    </row>
    <row r="641" customFormat="false" ht="15" hidden="false" customHeight="false" outlineLevel="0" collapsed="false">
      <c r="A641" s="5" t="s">
        <v>449</v>
      </c>
      <c r="B641" s="5" t="s">
        <v>2017</v>
      </c>
      <c r="C641" s="5" t="s">
        <v>2018</v>
      </c>
      <c r="D641" s="5" t="s">
        <v>449</v>
      </c>
      <c r="E641" s="5" t="s">
        <v>53</v>
      </c>
      <c r="F641" s="6" t="n">
        <v>14480.39</v>
      </c>
      <c r="G641" s="7" t="n">
        <v>909</v>
      </c>
      <c r="H641" s="8" t="n">
        <v>3.7846</v>
      </c>
      <c r="I641" s="8" t="n">
        <v>3.058</v>
      </c>
      <c r="J641" s="7" t="n">
        <v>131</v>
      </c>
      <c r="K641" s="5" t="n">
        <v>1</v>
      </c>
      <c r="L641" s="5" t="n">
        <v>1</v>
      </c>
      <c r="M641" s="5" t="n">
        <v>4.6</v>
      </c>
      <c r="N641" s="9" t="s">
        <v>54</v>
      </c>
      <c r="O641" s="5"/>
      <c r="P641" s="5"/>
      <c r="Q641" s="5"/>
      <c r="R641" s="7"/>
      <c r="S641" s="7"/>
      <c r="T641" s="5"/>
      <c r="U641" s="6"/>
      <c r="V641" s="7"/>
      <c r="W641" s="5"/>
      <c r="X641" s="7"/>
      <c r="Y641" s="7"/>
      <c r="Z641" s="7"/>
      <c r="AA641" s="10"/>
      <c r="AB641" s="11"/>
      <c r="AC641" s="10"/>
      <c r="AD641" s="12"/>
      <c r="AE641" s="12"/>
      <c r="AF641" s="12"/>
      <c r="AG641" s="7"/>
      <c r="AH641" s="7"/>
      <c r="AI641" s="5" t="s">
        <v>2019</v>
      </c>
    </row>
    <row r="642" customFormat="false" ht="15" hidden="false" customHeight="false" outlineLevel="0" collapsed="false">
      <c r="A642" s="5" t="s">
        <v>449</v>
      </c>
      <c r="B642" s="5" t="s">
        <v>2020</v>
      </c>
      <c r="C642" s="5"/>
      <c r="D642" s="5" t="s">
        <v>449</v>
      </c>
      <c r="E642" s="5" t="s">
        <v>60</v>
      </c>
      <c r="F642" s="6" t="n">
        <v>13563.59</v>
      </c>
      <c r="G642" s="7" t="n">
        <v>915</v>
      </c>
      <c r="H642" s="8" t="n">
        <v>0</v>
      </c>
      <c r="I642" s="8" t="n">
        <v>0</v>
      </c>
      <c r="J642" s="7" t="n">
        <v>77</v>
      </c>
      <c r="K642" s="5" t="n">
        <v>2</v>
      </c>
      <c r="L642" s="5" t="n">
        <v>380</v>
      </c>
      <c r="M642" s="5" t="n">
        <v>0.1</v>
      </c>
      <c r="N642" s="9" t="s">
        <v>54</v>
      </c>
      <c r="O642" s="5"/>
      <c r="P642" s="5"/>
      <c r="Q642" s="5"/>
      <c r="R642" s="7"/>
      <c r="S642" s="7"/>
      <c r="T642" s="5"/>
      <c r="U642" s="6"/>
      <c r="V642" s="7"/>
      <c r="W642" s="5"/>
      <c r="X642" s="7"/>
      <c r="Y642" s="7"/>
      <c r="Z642" s="7"/>
      <c r="AA642" s="10"/>
      <c r="AB642" s="11"/>
      <c r="AC642" s="10"/>
      <c r="AD642" s="12"/>
      <c r="AE642" s="12"/>
      <c r="AF642" s="12"/>
      <c r="AG642" s="7"/>
      <c r="AH642" s="7"/>
      <c r="AI642" s="5" t="s">
        <v>2021</v>
      </c>
    </row>
    <row r="643" customFormat="false" ht="15" hidden="false" customHeight="false" outlineLevel="0" collapsed="false">
      <c r="A643" s="5" t="s">
        <v>449</v>
      </c>
      <c r="B643" s="5" t="s">
        <v>2022</v>
      </c>
      <c r="C643" s="5"/>
      <c r="D643" s="5" t="s">
        <v>449</v>
      </c>
      <c r="E643" s="5" t="s">
        <v>53</v>
      </c>
      <c r="F643" s="6" t="n">
        <v>11606.38</v>
      </c>
      <c r="G643" s="7" t="n">
        <v>904</v>
      </c>
      <c r="H643" s="8" t="n">
        <v>0.5657</v>
      </c>
      <c r="I643" s="8" t="n">
        <v>0.4349</v>
      </c>
      <c r="J643" s="7" t="n">
        <v>301</v>
      </c>
      <c r="K643" s="5" t="n">
        <v>42</v>
      </c>
      <c r="L643" s="5" t="n">
        <v>157</v>
      </c>
      <c r="M643" s="5" t="n">
        <v>4.7</v>
      </c>
      <c r="N643" s="9" t="s">
        <v>54</v>
      </c>
      <c r="O643" s="5"/>
      <c r="P643" s="5"/>
      <c r="Q643" s="5"/>
      <c r="R643" s="7"/>
      <c r="S643" s="7"/>
      <c r="T643" s="5"/>
      <c r="U643" s="6"/>
      <c r="V643" s="7"/>
      <c r="W643" s="5"/>
      <c r="X643" s="7"/>
      <c r="Y643" s="7"/>
      <c r="Z643" s="7"/>
      <c r="AA643" s="10"/>
      <c r="AB643" s="11"/>
      <c r="AC643" s="10"/>
      <c r="AD643" s="12"/>
      <c r="AE643" s="12"/>
      <c r="AF643" s="12"/>
      <c r="AG643" s="7"/>
      <c r="AH643" s="7"/>
      <c r="AI643" s="5" t="s">
        <v>2023</v>
      </c>
    </row>
    <row r="644" customFormat="false" ht="15" hidden="false" customHeight="false" outlineLevel="0" collapsed="false">
      <c r="A644" s="5" t="s">
        <v>449</v>
      </c>
      <c r="B644" s="5" t="s">
        <v>2024</v>
      </c>
      <c r="C644" s="5"/>
      <c r="D644" s="5" t="s">
        <v>449</v>
      </c>
      <c r="E644" s="5" t="s">
        <v>60</v>
      </c>
      <c r="F644" s="6" t="n">
        <v>11558.4</v>
      </c>
      <c r="G644" s="7" t="n">
        <v>914</v>
      </c>
      <c r="H644" s="8" t="n">
        <v>2.0234</v>
      </c>
      <c r="I644" s="8" t="n">
        <v>2.2878</v>
      </c>
      <c r="J644" s="7" t="n">
        <v>184</v>
      </c>
      <c r="K644" s="5" t="n">
        <v>2</v>
      </c>
      <c r="L644" s="5" t="n">
        <v>387</v>
      </c>
      <c r="M644" s="5" t="n">
        <v>4.8</v>
      </c>
      <c r="N644" s="9" t="s">
        <v>54</v>
      </c>
      <c r="O644" s="5" t="s">
        <v>258</v>
      </c>
      <c r="P644" s="5"/>
      <c r="Q644" s="5"/>
      <c r="R644" s="7"/>
      <c r="S644" s="7"/>
      <c r="T644" s="5" t="s">
        <v>2025</v>
      </c>
      <c r="U644" s="6" t="n">
        <v>13451.08</v>
      </c>
      <c r="V644" s="7" t="n">
        <v>1285</v>
      </c>
      <c r="W644" s="5" t="n">
        <v>339</v>
      </c>
      <c r="X644" s="7" t="n">
        <v>138</v>
      </c>
      <c r="Y644" s="7" t="n">
        <v>254</v>
      </c>
      <c r="Z644" s="7" t="n">
        <v>17</v>
      </c>
      <c r="AA644" s="10" t="n">
        <v>7.5</v>
      </c>
      <c r="AB644" s="11" t="n">
        <v>14.05</v>
      </c>
      <c r="AC644" s="10"/>
      <c r="AD644" s="12"/>
      <c r="AE644" s="12"/>
      <c r="AF644" s="12"/>
      <c r="AG644" s="7" t="n">
        <v>596</v>
      </c>
      <c r="AH644" s="7" t="n">
        <v>3406</v>
      </c>
      <c r="AI644" s="5" t="s">
        <v>2026</v>
      </c>
    </row>
    <row r="645" customFormat="false" ht="15" hidden="false" customHeight="false" outlineLevel="0" collapsed="false">
      <c r="A645" s="5" t="s">
        <v>449</v>
      </c>
      <c r="B645" s="5" t="s">
        <v>2027</v>
      </c>
      <c r="C645" s="5" t="s">
        <v>2028</v>
      </c>
      <c r="D645" s="5" t="s">
        <v>449</v>
      </c>
      <c r="E645" s="5" t="s">
        <v>53</v>
      </c>
      <c r="F645" s="6" t="n">
        <v>11245.08</v>
      </c>
      <c r="G645" s="7" t="n">
        <v>896</v>
      </c>
      <c r="H645" s="8" t="n">
        <v>-0.3734</v>
      </c>
      <c r="I645" s="8" t="n">
        <v>-0.4151</v>
      </c>
      <c r="J645" s="7" t="n">
        <v>303</v>
      </c>
      <c r="K645" s="5" t="n">
        <v>59</v>
      </c>
      <c r="L645" s="5" t="n">
        <v>136</v>
      </c>
      <c r="M645" s="5" t="n">
        <v>4.7</v>
      </c>
      <c r="N645" s="9" t="s">
        <v>54</v>
      </c>
      <c r="O645" s="5"/>
      <c r="P645" s="5"/>
      <c r="Q645" s="5"/>
      <c r="R645" s="7"/>
      <c r="S645" s="7"/>
      <c r="T645" s="5"/>
      <c r="U645" s="6"/>
      <c r="V645" s="7"/>
      <c r="W645" s="5"/>
      <c r="X645" s="7"/>
      <c r="Y645" s="7"/>
      <c r="Z645" s="7"/>
      <c r="AA645" s="10"/>
      <c r="AB645" s="11"/>
      <c r="AC645" s="10"/>
      <c r="AD645" s="12"/>
      <c r="AE645" s="12"/>
      <c r="AF645" s="12"/>
      <c r="AG645" s="7"/>
      <c r="AH645" s="7"/>
      <c r="AI645" s="5" t="s">
        <v>2029</v>
      </c>
    </row>
  </sheetData>
  <hyperlinks>
    <hyperlink ref="Q6" r:id="rId1" display="https://www.tiktok.com/@zmgh49shop"/>
    <hyperlink ref="Q8" r:id="rId2" display="https://www.tiktok.com/@sisuocor"/>
    <hyperlink ref="Q20" r:id="rId3" display="https://www.tiktok.com/@stephen30715"/>
    <hyperlink ref="Q24" r:id="rId4" display="https://www.tiktok.com/@wlwbrands"/>
    <hyperlink ref="Q39" r:id="rId5" display="https://www.tiktok.com/@booboobabyproducts.com"/>
    <hyperlink ref="Q42" r:id="rId6" display="https://www.tiktok.com/@ladidatoystore"/>
    <hyperlink ref="Q44" r:id="rId7" display="https://www.tiktok.com/@my_expertmidwife"/>
    <hyperlink ref="Q50" r:id="rId8" display="https://www.tiktok.com/@myfirststyle"/>
    <hyperlink ref="Q52" r:id="rId9" display="https://www.tiktok.com/@mbd_clothing"/>
    <hyperlink ref="Q55" r:id="rId10" display="https://www.tiktok.com/@sculptedbyaimeestore"/>
    <hyperlink ref="Q66" r:id="rId11" display="https://www.tiktok.com/@poppys332"/>
    <hyperlink ref="Q75" r:id="rId12" display="https://www.tiktok.com/@houseofamoruk"/>
    <hyperlink ref="Q78" r:id="rId13" display="https://www.tiktok.com/@calmhavenbeauty"/>
    <hyperlink ref="Q87" r:id="rId14" display="https://www.tiktok.com/@acehitstcg"/>
    <hyperlink ref="Q92" r:id="rId15" display="https://www.tiktok.com/@wiggyscollectables"/>
    <hyperlink ref="Q100" r:id="rId16" display="https://www.tiktok.com/@thepokeattic"/>
    <hyperlink ref="Q112" r:id="rId17" display="https://www.tiktok.com/@eclipse_gaming_ltd"/>
    <hyperlink ref="Q117" r:id="rId18" display="https://www.tiktok.com/@rosexpress_delivery_serv"/>
    <hyperlink ref="Q126" r:id="rId19" display="https://www.tiktok.com/@prettyperfectproducts"/>
    <hyperlink ref="Q129" r:id="rId20" display="https://www.tiktok.com/@danilocalendarsuk"/>
    <hyperlink ref="Q148" r:id="rId21" display="https://www.tiktok.com/@milacolato_official"/>
    <hyperlink ref="Q154" r:id="rId22" display="https://www.tiktok.com/@bozlun_official"/>
    <hyperlink ref="Q155" r:id="rId23" display="https://www.tiktok.com/@blinghairfactorystore_"/>
    <hyperlink ref="Q173" r:id="rId24" display="https://www.tiktok.com/@taste_flavorco_uk"/>
    <hyperlink ref="Q174" r:id="rId25" display="https://www.tiktok.com/@pakwatandriedfruits"/>
    <hyperlink ref="Q178" r:id="rId26" display="https://www.tiktok.com/@bakhtar.market"/>
    <hyperlink ref="Q197" r:id="rId27" display="https://www.tiktok.com/@giantbradleys"/>
    <hyperlink ref="Q208" r:id="rId28" display="https://www.tiktok.com/@shadowquella"/>
    <hyperlink ref="Q215" r:id="rId29" display="https://www.tiktok.com/@readysteadybed.co.uk"/>
    <hyperlink ref="Q226" r:id="rId30" display="https://www.tiktok.com/@ancientextracts"/>
    <hyperlink ref="Q231" r:id="rId31" display="https://www.tiktok.com/@herkinduk"/>
    <hyperlink ref="Q236" r:id="rId32" display="https://www.tiktok.com/@mellowpatchesuk"/>
    <hyperlink ref="Q238" r:id="rId33" display="https://www.tiktok.com/@roundway.supplements"/>
    <hyperlink ref="Q241" r:id="rId34" display="https://www.tiktok.com/@rhealsuperfoods"/>
    <hyperlink ref="Q257" r:id="rId35" display="https://www.tiktok.com/@flowerpoweruk1"/>
    <hyperlink ref="Q262" r:id="rId36" display="https://www.tiktok.com/@kokomauk5"/>
    <hyperlink ref="Q263" r:id="rId37" display="https://www.tiktok.com/@jghjgmxq"/>
    <hyperlink ref="Q266" r:id="rId38" display="https://www.tiktok.com/@thclickmart"/>
    <hyperlink ref="Q280" r:id="rId39" display="https://www.tiktok.com/@dockandbay"/>
    <hyperlink ref="Q283" r:id="rId40" display="https://www.tiktok.com/@violetpap12"/>
    <hyperlink ref="Q284" r:id="rId41" display="https://www.tiktok.com/@thegifthouseuk"/>
    <hyperlink ref="Q287" r:id="rId42" display="https://www.tiktok.com/@user9051965569350"/>
    <hyperlink ref="Q294" r:id="rId43" display="https://www.tiktok.com/@auyoluk"/>
    <hyperlink ref="Q311" r:id="rId44" display="https://www.tiktok.com/@hetch.uk"/>
    <hyperlink ref="Q314" r:id="rId45" display="https://www.tiktok.com/@emirate2230"/>
    <hyperlink ref="Q324" r:id="rId46" display="https://www.tiktok.com/@iwealmt05"/>
    <hyperlink ref="Q325" r:id="rId47" display="https://www.tiktok.com/@8.eight84"/>
    <hyperlink ref="Q342" r:id="rId48" display="https://www.tiktok.com/@morphcostumes"/>
    <hyperlink ref="Q345" r:id="rId49" display="https://www.tiktok.com/@label.cutters"/>
    <hyperlink ref="Q352" r:id="rId50" display="https://www.tiktok.com/@toptierco"/>
    <hyperlink ref="Q354" r:id="rId51" display="https://www.tiktok.com/@bella.bambini"/>
    <hyperlink ref="Q361" r:id="rId52" display="https://www.tiktok.com/@bt.international1"/>
    <hyperlink ref="Q363" r:id="rId53" display="https://www.tiktok.com/@homelivestore"/>
    <hyperlink ref="Q376" r:id="rId54" display="https://www.tiktok.com/@lenakliving"/>
    <hyperlink ref="Q382" r:id="rId55" display="https://www.tiktok.com/@hayzcreations"/>
    <hyperlink ref="Q384" r:id="rId56" display="https://www.tiktok.com/@misslulubags"/>
    <hyperlink ref="Q404" r:id="rId57" display="https://www.tiktok.com/@laurarichardsboutique"/>
    <hyperlink ref="Q417" r:id="rId58" display="https://www.tiktok.com/@user1921367778827"/>
    <hyperlink ref="Q425" r:id="rId59" display="https://www.tiktok.com/@silverbirchclothing"/>
    <hyperlink ref="Q426" r:id="rId60" display="https://www.tiktok.com/@macropick85"/>
    <hyperlink ref="Q441" r:id="rId61" display="https://www.tiktok.com/@shirin_collection0_uk"/>
    <hyperlink ref="Q444" r:id="rId62" display="https://www.tiktok.com/@eazy_dresses"/>
    <hyperlink ref="Q455" r:id="rId63" display="https://www.tiktok.com/@bluestonesmodestfashion1"/>
    <hyperlink ref="Q459" r:id="rId64" display="https://www.tiktok.com/@manorfarmdogtreats"/>
    <hyperlink ref="Q466" r:id="rId65" display="https://www.tiktok.com/@thedeliciousdogfoodco"/>
    <hyperlink ref="Q473" r:id="rId66" display="https://www.tiktok.com/@groomitooluk"/>
    <hyperlink ref="Q503" r:id="rId67" display="https://www.tiktok.com/@lebara.mobile"/>
    <hyperlink ref="Q504" r:id="rId68" display="https://www.tiktok.com/@curry04300"/>
    <hyperlink ref="Q525" r:id="rId69" display="https://www.tiktok.com/@heydude.uk"/>
    <hyperlink ref="Q529" r:id="rId70" display="https://www.tiktok.com/@dia.studios"/>
    <hyperlink ref="Q548" r:id="rId71" display="https://www.tiktok.com/@puresport"/>
    <hyperlink ref="Q549" r:id="rId72" display="https://www.tiktok.com/@agilithor"/>
    <hyperlink ref="Q562" r:id="rId73" display="https://www.tiktok.com/@teamstryq"/>
    <hyperlink ref="Q581" r:id="rId74" display="https://www.tiktok.com/@grace_bedding"/>
    <hyperlink ref="Q583" r:id="rId75" display="https://www.tiktok.com/@hafaauk"/>
    <hyperlink ref="Q586" r:id="rId76" display="https://www.tiktok.com/@rooee.offical"/>
    <hyperlink ref="Q603" r:id="rId77" display="https://www.tiktok.com/@mvalue_tools"/>
    <hyperlink ref="Q615" r:id="rId78" display="https://www.tiktok.com/@fantasticfactoryshop"/>
    <hyperlink ref="Q616" r:id="rId79" display="https://www.tiktok.com/@funkyfidgetsshop"/>
    <hyperlink ref="Q627" r:id="rId80" display="https://www.tiktok.com/@cheekywipes"/>
    <hyperlink ref="Q630" r:id="rId81" display="https://www.tiktok.com/@misthousefash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23.85" hidden="false" customHeight="false" outlineLevel="0" collapsed="false">
      <c r="A1" s="16" t="s">
        <v>2030</v>
      </c>
      <c r="B1" s="16" t="s">
        <v>2031</v>
      </c>
      <c r="C1" s="16" t="s">
        <v>2032</v>
      </c>
      <c r="D1" s="16" t="s">
        <v>2033</v>
      </c>
      <c r="E1" s="16" t="s">
        <v>2034</v>
      </c>
      <c r="F1" s="16" t="s">
        <v>2035</v>
      </c>
    </row>
    <row r="2" customFormat="false" ht="15" hidden="false" customHeight="false" outlineLevel="0" collapsed="false">
      <c r="A2" s="5" t="s">
        <v>50</v>
      </c>
      <c r="B2" s="5" t="n">
        <f aca="false">COUNTIF('UK Leads'!$A$2:$A$645,A2)</f>
        <v>26</v>
      </c>
      <c r="C2" s="5" t="n">
        <f aca="false">COUNTIFS('UK Leads'!$A$2:$A$645,A2,'UK Leads'!$N$2:$N$645,"High")</f>
        <v>18</v>
      </c>
      <c r="D2" s="5" t="n">
        <f aca="false">COUNTIFS('UK Leads'!$A$2:$A$645,A2,'UK Leads'!$P$2:$P$645,"&lt;&gt;")</f>
        <v>4</v>
      </c>
      <c r="E2" s="6" t="n">
        <f aca="false">AVERAGEIF('UK Leads'!$A$2:$A$645,A2,'UK Leads'!$F$2:$F$645)</f>
        <v>16644.8723076923</v>
      </c>
      <c r="F2" s="5" t="s">
        <v>2036</v>
      </c>
    </row>
    <row r="3" customFormat="false" ht="15" hidden="false" customHeight="false" outlineLevel="0" collapsed="false">
      <c r="A3" s="5" t="s">
        <v>138</v>
      </c>
      <c r="B3" s="5" t="n">
        <f aca="false">COUNTIF('UK Leads'!$A$2:$A$645,A3)</f>
        <v>27</v>
      </c>
      <c r="C3" s="5" t="n">
        <f aca="false">COUNTIFS('UK Leads'!$A$2:$A$645,A3,'UK Leads'!$N$2:$N$645,"High")</f>
        <v>19</v>
      </c>
      <c r="D3" s="5" t="n">
        <f aca="false">COUNTIFS('UK Leads'!$A$2:$A$645,A3,'UK Leads'!$P$2:$P$645,"&lt;&gt;")</f>
        <v>5</v>
      </c>
      <c r="E3" s="6" t="n">
        <f aca="false">AVERAGEIF('UK Leads'!$A$2:$A$645,A3,'UK Leads'!$F$2:$F$645)</f>
        <v>20494.8118518519</v>
      </c>
      <c r="F3" s="5" t="s">
        <v>2037</v>
      </c>
    </row>
    <row r="4" customFormat="false" ht="15" hidden="false" customHeight="false" outlineLevel="0" collapsed="false">
      <c r="A4" s="5" t="s">
        <v>89</v>
      </c>
      <c r="B4" s="5" t="n">
        <f aca="false">COUNTIF('UK Leads'!$A$2:$A$645,A4)</f>
        <v>32</v>
      </c>
      <c r="C4" s="5" t="n">
        <f aca="false">COUNTIFS('UK Leads'!$A$2:$A$645,A4,'UK Leads'!$N$2:$N$645,"High")</f>
        <v>25</v>
      </c>
      <c r="D4" s="5" t="n">
        <f aca="false">COUNTIFS('UK Leads'!$A$2:$A$645,A4,'UK Leads'!$P$2:$P$645,"&lt;&gt;")</f>
        <v>4</v>
      </c>
      <c r="E4" s="6" t="n">
        <f aca="false">AVERAGEIF('UK Leads'!$A$2:$A$645,A4,'UK Leads'!$F$2:$F$645)</f>
        <v>23243.9996875</v>
      </c>
      <c r="F4" s="5" t="s">
        <v>2038</v>
      </c>
    </row>
    <row r="5" customFormat="false" ht="15" hidden="false" customHeight="false" outlineLevel="0" collapsed="false">
      <c r="A5" s="5" t="s">
        <v>344</v>
      </c>
      <c r="B5" s="5" t="n">
        <f aca="false">COUNTIF('UK Leads'!$A$2:$A$645,A5)</f>
        <v>30</v>
      </c>
      <c r="C5" s="5" t="n">
        <f aca="false">COUNTIFS('UK Leads'!$A$2:$A$645,A5,'UK Leads'!$N$2:$N$645,"High")</f>
        <v>29</v>
      </c>
      <c r="D5" s="5" t="n">
        <f aca="false">COUNTIFS('UK Leads'!$A$2:$A$645,A5,'UK Leads'!$P$2:$P$645,"&lt;&gt;")</f>
        <v>4</v>
      </c>
      <c r="E5" s="6" t="n">
        <f aca="false">AVERAGEIF('UK Leads'!$A$2:$A$645,A5,'UK Leads'!$F$2:$F$645)</f>
        <v>20190.9846666667</v>
      </c>
      <c r="F5" s="5" t="s">
        <v>2039</v>
      </c>
    </row>
    <row r="6" customFormat="false" ht="15" hidden="false" customHeight="false" outlineLevel="0" collapsed="false">
      <c r="A6" s="5" t="s">
        <v>420</v>
      </c>
      <c r="B6" s="5" t="n">
        <f aca="false">COUNTIF('UK Leads'!$A$2:$A$645,A6)</f>
        <v>24</v>
      </c>
      <c r="C6" s="5" t="n">
        <f aca="false">COUNTIFS('UK Leads'!$A$2:$A$645,A6,'UK Leads'!$N$2:$N$645,"High")</f>
        <v>17</v>
      </c>
      <c r="D6" s="5" t="n">
        <f aca="false">COUNTIFS('UK Leads'!$A$2:$A$645,A6,'UK Leads'!$P$2:$P$645,"&lt;&gt;")</f>
        <v>3</v>
      </c>
      <c r="E6" s="6" t="n">
        <f aca="false">AVERAGEIF('UK Leads'!$A$2:$A$645,A6,'UK Leads'!$F$2:$F$645)</f>
        <v>19525.4691666667</v>
      </c>
      <c r="F6" s="5" t="s">
        <v>2040</v>
      </c>
    </row>
    <row r="7" customFormat="false" ht="15" hidden="false" customHeight="false" outlineLevel="0" collapsed="false">
      <c r="A7" s="5" t="s">
        <v>341</v>
      </c>
      <c r="B7" s="5" t="n">
        <f aca="false">COUNTIF('UK Leads'!$A$2:$A$645,A7)</f>
        <v>29</v>
      </c>
      <c r="C7" s="5" t="n">
        <f aca="false">COUNTIFS('UK Leads'!$A$2:$A$645,A7,'UK Leads'!$N$2:$N$645,"High")</f>
        <v>27</v>
      </c>
      <c r="D7" s="5" t="n">
        <f aca="false">COUNTIFS('UK Leads'!$A$2:$A$645,A7,'UK Leads'!$P$2:$P$645,"&lt;&gt;")</f>
        <v>3</v>
      </c>
      <c r="E7" s="6" t="n">
        <f aca="false">AVERAGEIF('UK Leads'!$A$2:$A$645,A7,'UK Leads'!$F$2:$F$645)</f>
        <v>19273.2706896552</v>
      </c>
      <c r="F7" s="5" t="s">
        <v>2041</v>
      </c>
    </row>
    <row r="8" customFormat="false" ht="15" hidden="false" customHeight="false" outlineLevel="0" collapsed="false">
      <c r="A8" s="5" t="s">
        <v>581</v>
      </c>
      <c r="B8" s="5" t="n">
        <f aca="false">COUNTIF('UK Leads'!$A$2:$A$645,A8)</f>
        <v>30</v>
      </c>
      <c r="C8" s="5" t="n">
        <f aca="false">COUNTIFS('UK Leads'!$A$2:$A$645,A8,'UK Leads'!$N$2:$N$645,"High")</f>
        <v>30</v>
      </c>
      <c r="D8" s="5" t="n">
        <f aca="false">COUNTIFS('UK Leads'!$A$2:$A$645,A8,'UK Leads'!$P$2:$P$645,"&lt;&gt;")</f>
        <v>4</v>
      </c>
      <c r="E8" s="6" t="n">
        <f aca="false">AVERAGEIF('UK Leads'!$A$2:$A$645,A8,'UK Leads'!$F$2:$F$645)</f>
        <v>16787.4203333333</v>
      </c>
      <c r="F8" s="5" t="s">
        <v>2042</v>
      </c>
    </row>
    <row r="9" customFormat="false" ht="15" hidden="false" customHeight="false" outlineLevel="0" collapsed="false">
      <c r="A9" s="5" t="s">
        <v>150</v>
      </c>
      <c r="B9" s="5" t="n">
        <f aca="false">COUNTIF('UK Leads'!$A$2:$A$645,A9)</f>
        <v>25</v>
      </c>
      <c r="C9" s="5" t="n">
        <f aca="false">COUNTIFS('UK Leads'!$A$2:$A$645,A9,'UK Leads'!$N$2:$N$645,"High")</f>
        <v>19</v>
      </c>
      <c r="D9" s="5" t="n">
        <f aca="false">COUNTIFS('UK Leads'!$A$2:$A$645,A9,'UK Leads'!$P$2:$P$645,"&lt;&gt;")</f>
        <v>2</v>
      </c>
      <c r="E9" s="6" t="n">
        <f aca="false">AVERAGEIF('UK Leads'!$A$2:$A$645,A9,'UK Leads'!$F$2:$F$645)</f>
        <v>18040.5076</v>
      </c>
      <c r="F9" s="5" t="s">
        <v>2043</v>
      </c>
    </row>
    <row r="10" customFormat="false" ht="15" hidden="false" customHeight="false" outlineLevel="0" collapsed="false">
      <c r="A10" s="5" t="s">
        <v>269</v>
      </c>
      <c r="B10" s="5" t="n">
        <f aca="false">COUNTIF('UK Leads'!$A$2:$A$645,A10)</f>
        <v>28</v>
      </c>
      <c r="C10" s="5" t="n">
        <f aca="false">COUNTIFS('UK Leads'!$A$2:$A$645,A10,'UK Leads'!$N$2:$N$645,"High")</f>
        <v>25</v>
      </c>
      <c r="D10" s="5" t="n">
        <f aca="false">COUNTIFS('UK Leads'!$A$2:$A$645,A10,'UK Leads'!$P$2:$P$645,"&lt;&gt;")</f>
        <v>5</v>
      </c>
      <c r="E10" s="6" t="n">
        <f aca="false">AVERAGEIF('UK Leads'!$A$2:$A$645,A10,'UK Leads'!$F$2:$F$645)</f>
        <v>15935.1525</v>
      </c>
      <c r="F10" s="5" t="s">
        <v>2044</v>
      </c>
    </row>
    <row r="11" customFormat="false" ht="15" hidden="false" customHeight="false" outlineLevel="0" collapsed="false">
      <c r="A11" s="5" t="s">
        <v>210</v>
      </c>
      <c r="B11" s="5" t="n">
        <f aca="false">COUNTIF('UK Leads'!$A$2:$A$645,A11)</f>
        <v>24</v>
      </c>
      <c r="C11" s="5" t="n">
        <f aca="false">COUNTIFS('UK Leads'!$A$2:$A$645,A11,'UK Leads'!$N$2:$N$645,"High")</f>
        <v>18</v>
      </c>
      <c r="D11" s="5" t="n">
        <f aca="false">COUNTIFS('UK Leads'!$A$2:$A$645,A11,'UK Leads'!$P$2:$P$645,"&lt;&gt;")</f>
        <v>4</v>
      </c>
      <c r="E11" s="6" t="n">
        <f aca="false">AVERAGEIF('UK Leads'!$A$2:$A$645,A11,'UK Leads'!$F$2:$F$645)</f>
        <v>22361.2091666667</v>
      </c>
      <c r="F11" s="5" t="s">
        <v>2039</v>
      </c>
    </row>
    <row r="12" customFormat="false" ht="15" hidden="false" customHeight="false" outlineLevel="0" collapsed="false">
      <c r="A12" s="5" t="s">
        <v>59</v>
      </c>
      <c r="B12" s="5" t="n">
        <f aca="false">COUNTIF('UK Leads'!$A$2:$A$645,A12)</f>
        <v>30</v>
      </c>
      <c r="C12" s="5" t="n">
        <f aca="false">COUNTIFS('UK Leads'!$A$2:$A$645,A12,'UK Leads'!$N$2:$N$645,"High")</f>
        <v>23</v>
      </c>
      <c r="D12" s="5" t="n">
        <f aca="false">COUNTIFS('UK Leads'!$A$2:$A$645,A12,'UK Leads'!$P$2:$P$645,"&lt;&gt;")</f>
        <v>5</v>
      </c>
      <c r="E12" s="6" t="n">
        <f aca="false">AVERAGEIF('UK Leads'!$A$2:$A$645,A12,'UK Leads'!$F$2:$F$645)</f>
        <v>18875.6006666667</v>
      </c>
      <c r="F12" s="5" t="s">
        <v>2045</v>
      </c>
    </row>
    <row r="13" customFormat="false" ht="15" hidden="false" customHeight="false" outlineLevel="0" collapsed="false">
      <c r="A13" s="5" t="s">
        <v>446</v>
      </c>
      <c r="B13" s="5" t="n">
        <f aca="false">COUNTIF('UK Leads'!$A$2:$A$645,A13)</f>
        <v>24</v>
      </c>
      <c r="C13" s="5" t="n">
        <f aca="false">COUNTIFS('UK Leads'!$A$2:$A$645,A13,'UK Leads'!$N$2:$N$645,"High")</f>
        <v>18</v>
      </c>
      <c r="D13" s="5" t="n">
        <f aca="false">COUNTIFS('UK Leads'!$A$2:$A$645,A13,'UK Leads'!$P$2:$P$645,"&lt;&gt;")</f>
        <v>4</v>
      </c>
      <c r="E13" s="6" t="n">
        <f aca="false">AVERAGEIF('UK Leads'!$A$2:$A$645,A13,'UK Leads'!$F$2:$F$645)</f>
        <v>14989.2525</v>
      </c>
      <c r="F13" s="5" t="s">
        <v>2042</v>
      </c>
    </row>
    <row r="14" customFormat="false" ht="15" hidden="false" customHeight="false" outlineLevel="0" collapsed="false">
      <c r="A14" s="5" t="s">
        <v>1086</v>
      </c>
      <c r="B14" s="5" t="n">
        <f aca="false">COUNTIF('UK Leads'!$A$2:$A$645,A14)</f>
        <v>26</v>
      </c>
      <c r="C14" s="5" t="n">
        <f aca="false">COUNTIFS('UK Leads'!$A$2:$A$645,A14,'UK Leads'!$N$2:$N$645,"High")</f>
        <v>16</v>
      </c>
      <c r="D14" s="5" t="n">
        <f aca="false">COUNTIFS('UK Leads'!$A$2:$A$645,A14,'UK Leads'!$P$2:$P$645,"&lt;&gt;")</f>
        <v>4</v>
      </c>
      <c r="E14" s="6" t="n">
        <f aca="false">AVERAGEIF('UK Leads'!$A$2:$A$645,A14,'UK Leads'!$F$2:$F$645)</f>
        <v>16828.6788461538</v>
      </c>
      <c r="F14" s="5" t="s">
        <v>2040</v>
      </c>
    </row>
    <row r="15" customFormat="false" ht="15" hidden="false" customHeight="false" outlineLevel="0" collapsed="false">
      <c r="A15" s="5" t="s">
        <v>291</v>
      </c>
      <c r="B15" s="5" t="n">
        <f aca="false">COUNTIF('UK Leads'!$A$2:$A$645,A15)</f>
        <v>26</v>
      </c>
      <c r="C15" s="5" t="n">
        <f aca="false">COUNTIFS('UK Leads'!$A$2:$A$645,A15,'UK Leads'!$N$2:$N$645,"High")</f>
        <v>14</v>
      </c>
      <c r="D15" s="5" t="n">
        <f aca="false">COUNTIFS('UK Leads'!$A$2:$A$645,A15,'UK Leads'!$P$2:$P$645,"&lt;&gt;")</f>
        <v>4</v>
      </c>
      <c r="E15" s="6" t="n">
        <f aca="false">AVERAGEIF('UK Leads'!$A$2:$A$645,A15,'UK Leads'!$F$2:$F$645)</f>
        <v>18798.6611538462</v>
      </c>
      <c r="F15" s="5" t="s">
        <v>2039</v>
      </c>
    </row>
    <row r="16" customFormat="false" ht="15" hidden="false" customHeight="false" outlineLevel="0" collapsed="false">
      <c r="A16" s="5" t="s">
        <v>1264</v>
      </c>
      <c r="B16" s="5" t="n">
        <f aca="false">COUNTIF('UK Leads'!$A$2:$A$645,A16)</f>
        <v>25</v>
      </c>
      <c r="C16" s="5" t="n">
        <f aca="false">COUNTIFS('UK Leads'!$A$2:$A$645,A16,'UK Leads'!$N$2:$N$645,"High")</f>
        <v>22</v>
      </c>
      <c r="D16" s="5" t="n">
        <f aca="false">COUNTIFS('UK Leads'!$A$2:$A$645,A16,'UK Leads'!$P$2:$P$645,"&lt;&gt;")</f>
        <v>2</v>
      </c>
      <c r="E16" s="6" t="n">
        <f aca="false">AVERAGEIF('UK Leads'!$A$2:$A$645,A16,'UK Leads'!$F$2:$F$645)</f>
        <v>19953.7032</v>
      </c>
      <c r="F16" s="5" t="s">
        <v>2037</v>
      </c>
    </row>
    <row r="17" customFormat="false" ht="15" hidden="false" customHeight="false" outlineLevel="0" collapsed="false">
      <c r="A17" s="5" t="s">
        <v>1095</v>
      </c>
      <c r="B17" s="5" t="n">
        <f aca="false">COUNTIF('UK Leads'!$A$2:$A$645,A17)</f>
        <v>30</v>
      </c>
      <c r="C17" s="5" t="n">
        <f aca="false">COUNTIFS('UK Leads'!$A$2:$A$645,A17,'UK Leads'!$N$2:$N$645,"High")</f>
        <v>27</v>
      </c>
      <c r="D17" s="5" t="n">
        <f aca="false">COUNTIFS('UK Leads'!$A$2:$A$645,A17,'UK Leads'!$P$2:$P$645,"&lt;&gt;")</f>
        <v>3</v>
      </c>
      <c r="E17" s="6" t="n">
        <f aca="false">AVERAGEIF('UK Leads'!$A$2:$A$645,A17,'UK Leads'!$F$2:$F$645)</f>
        <v>15939.0446666667</v>
      </c>
      <c r="F17" s="5" t="s">
        <v>2046</v>
      </c>
    </row>
    <row r="18" customFormat="false" ht="15" hidden="false" customHeight="false" outlineLevel="0" collapsed="false">
      <c r="A18" s="5" t="s">
        <v>1421</v>
      </c>
      <c r="B18" s="5" t="n">
        <f aca="false">COUNTIF('UK Leads'!$A$2:$A$645,A18)</f>
        <v>20</v>
      </c>
      <c r="C18" s="5" t="n">
        <f aca="false">COUNTIFS('UK Leads'!$A$2:$A$645,A18,'UK Leads'!$N$2:$N$645,"High")</f>
        <v>17</v>
      </c>
      <c r="D18" s="5" t="n">
        <f aca="false">COUNTIFS('UK Leads'!$A$2:$A$645,A18,'UK Leads'!$P$2:$P$645,"&lt;&gt;")</f>
        <v>3</v>
      </c>
      <c r="E18" s="6" t="n">
        <f aca="false">AVERAGEIF('UK Leads'!$A$2:$A$645,A18,'UK Leads'!$F$2:$F$645)</f>
        <v>13695.469</v>
      </c>
      <c r="F18" s="5" t="s">
        <v>2047</v>
      </c>
    </row>
    <row r="19" customFormat="false" ht="15" hidden="false" customHeight="false" outlineLevel="0" collapsed="false">
      <c r="A19" s="5" t="s">
        <v>1221</v>
      </c>
      <c r="B19" s="5" t="n">
        <f aca="false">COUNTIF('UK Leads'!$A$2:$A$645,A19)</f>
        <v>28</v>
      </c>
      <c r="C19" s="5" t="n">
        <f aca="false">COUNTIFS('UK Leads'!$A$2:$A$645,A19,'UK Leads'!$N$2:$N$645,"High")</f>
        <v>23</v>
      </c>
      <c r="D19" s="5" t="n">
        <f aca="false">COUNTIFS('UK Leads'!$A$2:$A$645,A19,'UK Leads'!$P$2:$P$645,"&lt;&gt;")</f>
        <v>3</v>
      </c>
      <c r="E19" s="6" t="n">
        <f aca="false">AVERAGEIF('UK Leads'!$A$2:$A$645,A19,'UK Leads'!$F$2:$F$645)</f>
        <v>22144.7196428571</v>
      </c>
      <c r="F19" s="5" t="s">
        <v>2037</v>
      </c>
    </row>
    <row r="20" customFormat="false" ht="15" hidden="false" customHeight="false" outlineLevel="0" collapsed="false">
      <c r="A20" s="5" t="s">
        <v>428</v>
      </c>
      <c r="B20" s="5" t="n">
        <f aca="false">COUNTIF('UK Leads'!$A$2:$A$645,A20)</f>
        <v>29</v>
      </c>
      <c r="C20" s="5" t="n">
        <f aca="false">COUNTIFS('UK Leads'!$A$2:$A$645,A20,'UK Leads'!$N$2:$N$645,"High")</f>
        <v>26</v>
      </c>
      <c r="D20" s="5" t="n">
        <f aca="false">COUNTIFS('UK Leads'!$A$2:$A$645,A20,'UK Leads'!$P$2:$P$645,"&lt;&gt;")</f>
        <v>2</v>
      </c>
      <c r="E20" s="6" t="n">
        <f aca="false">AVERAGEIF('UK Leads'!$A$2:$A$645,A20,'UK Leads'!$F$2:$F$645)</f>
        <v>12208.5665517241</v>
      </c>
      <c r="F20" s="5" t="s">
        <v>2048</v>
      </c>
    </row>
    <row r="21" customFormat="false" ht="15" hidden="false" customHeight="false" outlineLevel="0" collapsed="false">
      <c r="A21" s="5" t="s">
        <v>140</v>
      </c>
      <c r="B21" s="5" t="n">
        <f aca="false">COUNTIF('UK Leads'!$A$2:$A$645,A21)</f>
        <v>28</v>
      </c>
      <c r="C21" s="5" t="n">
        <f aca="false">COUNTIFS('UK Leads'!$A$2:$A$645,A21,'UK Leads'!$N$2:$N$645,"High")</f>
        <v>26</v>
      </c>
      <c r="D21" s="5" t="n">
        <f aca="false">COUNTIFS('UK Leads'!$A$2:$A$645,A21,'UK Leads'!$P$2:$P$645,"&lt;&gt;")</f>
        <v>2</v>
      </c>
      <c r="E21" s="6" t="n">
        <f aca="false">AVERAGEIF('UK Leads'!$A$2:$A$645,A21,'UK Leads'!$F$2:$F$645)</f>
        <v>17365.4714285714</v>
      </c>
      <c r="F21" s="5" t="s">
        <v>2039</v>
      </c>
    </row>
    <row r="22" customFormat="false" ht="15" hidden="false" customHeight="false" outlineLevel="0" collapsed="false">
      <c r="A22" s="5" t="s">
        <v>677</v>
      </c>
      <c r="B22" s="5" t="n">
        <f aca="false">COUNTIF('UK Leads'!$A$2:$A$645,A22)</f>
        <v>24</v>
      </c>
      <c r="C22" s="5" t="n">
        <f aca="false">COUNTIFS('UK Leads'!$A$2:$A$645,A22,'UK Leads'!$N$2:$N$645,"High")</f>
        <v>13</v>
      </c>
      <c r="D22" s="5" t="n">
        <f aca="false">COUNTIFS('UK Leads'!$A$2:$A$645,A22,'UK Leads'!$P$2:$P$645,"&lt;&gt;")</f>
        <v>3</v>
      </c>
      <c r="E22" s="6" t="n">
        <f aca="false">AVERAGEIF('UK Leads'!$A$2:$A$645,A22,'UK Leads'!$F$2:$F$645)</f>
        <v>26480.6708333333</v>
      </c>
      <c r="F22" s="5" t="s">
        <v>2042</v>
      </c>
    </row>
    <row r="23" customFormat="false" ht="15" hidden="false" customHeight="false" outlineLevel="0" collapsed="false">
      <c r="A23" s="5" t="s">
        <v>730</v>
      </c>
      <c r="B23" s="5" t="n">
        <f aca="false">COUNTIF('UK Leads'!$A$2:$A$645,A23)</f>
        <v>29</v>
      </c>
      <c r="C23" s="5" t="n">
        <f aca="false">COUNTIFS('UK Leads'!$A$2:$A$645,A23,'UK Leads'!$N$2:$N$645,"High")</f>
        <v>28</v>
      </c>
      <c r="D23" s="5" t="n">
        <f aca="false">COUNTIFS('UK Leads'!$A$2:$A$645,A23,'UK Leads'!$P$2:$P$645,"&lt;&gt;")</f>
        <v>3</v>
      </c>
      <c r="E23" s="6" t="n">
        <f aca="false">AVERAGEIF('UK Leads'!$A$2:$A$645,A23,'UK Leads'!$F$2:$F$645)</f>
        <v>19871.9644827586</v>
      </c>
      <c r="F23" s="5" t="s">
        <v>2049</v>
      </c>
    </row>
    <row r="24" customFormat="false" ht="15" hidden="false" customHeight="false" outlineLevel="0" collapsed="false">
      <c r="A24" s="5" t="s">
        <v>98</v>
      </c>
      <c r="B24" s="5" t="n">
        <f aca="false">COUNTIF('UK Leads'!$A$2:$A$645,A24)</f>
        <v>16</v>
      </c>
      <c r="C24" s="5" t="n">
        <f aca="false">COUNTIFS('UK Leads'!$A$2:$A$645,A24,'UK Leads'!$N$2:$N$645,"High")</f>
        <v>11</v>
      </c>
      <c r="D24" s="5" t="n">
        <f aca="false">COUNTIFS('UK Leads'!$A$2:$A$645,A24,'UK Leads'!$P$2:$P$645,"&lt;&gt;")</f>
        <v>1</v>
      </c>
      <c r="E24" s="6" t="n">
        <f aca="false">AVERAGEIF('UK Leads'!$A$2:$A$645,A24,'UK Leads'!$F$2:$F$645)</f>
        <v>22024.52</v>
      </c>
      <c r="F24" s="5" t="s">
        <v>2050</v>
      </c>
    </row>
    <row r="25" customFormat="false" ht="15" hidden="false" customHeight="false" outlineLevel="0" collapsed="false">
      <c r="A25" s="5" t="s">
        <v>83</v>
      </c>
      <c r="B25" s="5" t="n">
        <f aca="false">COUNTIF('UK Leads'!$A$2:$A$645,A25)</f>
        <v>14</v>
      </c>
      <c r="C25" s="5" t="n">
        <f aca="false">COUNTIFS('UK Leads'!$A$2:$A$645,A25,'UK Leads'!$N$2:$N$645,"High")</f>
        <v>13</v>
      </c>
      <c r="D25" s="5" t="n">
        <f aca="false">COUNTIFS('UK Leads'!$A$2:$A$645,A25,'UK Leads'!$P$2:$P$645,"&lt;&gt;")</f>
        <v>2</v>
      </c>
      <c r="E25" s="6" t="n">
        <f aca="false">AVERAGEIF('UK Leads'!$A$2:$A$645,A25,'UK Leads'!$F$2:$F$645)</f>
        <v>26429.895</v>
      </c>
      <c r="F25" s="5" t="s">
        <v>2051</v>
      </c>
    </row>
    <row r="26" customFormat="false" ht="15" hidden="false" customHeight="false" outlineLevel="0" collapsed="false">
      <c r="A26" s="5" t="s">
        <v>449</v>
      </c>
      <c r="B26" s="5" t="n">
        <f aca="false">COUNTIF('UK Leads'!$A$2:$A$645,A26)</f>
        <v>20</v>
      </c>
      <c r="C26" s="5" t="n">
        <f aca="false">COUNTIFS('UK Leads'!$A$2:$A$645,A26,'UK Leads'!$N$2:$N$645,"High")</f>
        <v>20</v>
      </c>
      <c r="D26" s="5" t="n">
        <f aca="false">COUNTIFS('UK Leads'!$A$2:$A$645,A26,'UK Leads'!$P$2:$P$645,"&lt;&gt;")</f>
        <v>2</v>
      </c>
      <c r="E26" s="6" t="n">
        <f aca="false">AVERAGEIF('UK Leads'!$A$2:$A$645,A26,'UK Leads'!$F$2:$F$645)</f>
        <v>22762.089</v>
      </c>
      <c r="F26" s="5" t="s">
        <v>2052</v>
      </c>
    </row>
    <row r="27" customFormat="false" ht="15" hidden="false" customHeight="false" outlineLevel="0" collapsed="false">
      <c r="A27" s="17" t="s">
        <v>2053</v>
      </c>
      <c r="B27" s="17" t="n">
        <f aca="false">SUM(B2:B26)</f>
        <v>644</v>
      </c>
      <c r="C27" s="17" t="n">
        <f aca="false">SUM(C2:C26)</f>
        <v>524</v>
      </c>
      <c r="D27" s="17" t="n">
        <f aca="false">SUM(D2:D26)</f>
        <v>81</v>
      </c>
      <c r="E27" s="18"/>
      <c r="F27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2026-10-09T20:08:36Z</dcterms:created>
  <dc:creator>openpyxl</dc:creator>
  <dc:description/>
  <dc:language>en-US</dc:language>
  <cp:lastModifiedBy/>
  <dcterms:modified xsi:type="dcterms:W3CDTF">2026-10-09T20:08:37Z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