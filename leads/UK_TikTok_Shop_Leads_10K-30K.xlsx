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K Leads" sheetId="2" state="visible" r:id="rId4"/>
    <sheet name="Category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<sst xmlns="http://schemas.openxmlformats.org/spreadsheetml/2006/main" count="1614" uniqueCount="767">
  <si>
    <t xml:space="preserve">UK TikTok Shop lead list – shops doing £10K–£30K</t>
  </si>
  <si>
    <t xml:space="preserve">Source: FastMoss MCP, monthly shop rankings for TikTok Shop UK (region GB), period = September 2026 (latest completed month; closest available to "last 28 days").</t>
  </si>
  <si>
    <t xml:space="preserve">Pulled: 8 Oct 2026. All money values are GBP as reported by FastMoss.</t>
  </si>
  <si>
    <t xml:space="preserve">How it was built</t>
  </si>
  <si>
    <t xml:space="preserve">• FastMoss has no GMV-range filter, and each ranking stops at 500 shops. The overall UK ranking bottoms out at ~£36K, so £10–30K shops only appear inside category rankings.</t>
  </si>
  <si>
    <t xml:space="preserve">• One ranking page (10 shops) was pulled per category at the depth where GMV falls into £10–30K. Only shops inside the band were kept.</t>
  </si>
  <si>
    <t xml:space="preserve">• This is a SAMPLE of each category's band, not every shop in it: the free trial allows ~100 credits/day and 1 page = 1 credit.</t>
  </si>
  <si>
    <t xml:space="preserve">Important caveat on GMV</t>
  </si>
  <si>
    <t xml:space="preserve">• "Sep-26 GMV in category" is the shop's sales WITHIN that category, not its total. Shops that sell across categories can be bigger overall.</t>
  </si>
  <si>
    <t xml:space="preserve">• Band confidence: High = ranked in its own main category; Medium = ranked outside its main category; Low = we saw evidence it is above £30K in total.</t>
  </si>
  <si>
    <t xml:space="preserve">• "UK overall rank (Sep)" is a useful cross-check: UK rank 500 ≈ £36K/month, so ranks well above ~700 are consistent with the band.</t>
  </si>
  <si>
    <t xml:space="preserve">Profile columns (TikTok handle → UK overall rank) were filled for 54 UK-based shops, chosen to cover every category. The rest are blank to save credits.</t>
  </si>
  <si>
    <t xml:space="preserve">Contact data: FastMoss does not provide emails/phones for shops. The TikTok handle / profile URL is the outreach route; company name helps with Companies House / LinkedIn lookups.</t>
  </si>
  <si>
    <t xml:space="preserve">Not covered yet: Shoes, Luggage &amp; Bags and Furniture (band is deeper than the page checked); Books and other small categories were not probed.</t>
  </si>
  <si>
    <t xml:space="preserve">Category (ranked in)</t>
  </si>
  <si>
    <t xml:space="preserve">Shop name</t>
  </si>
  <si>
    <t xml:space="preserve">Company / legal name</t>
  </si>
  <si>
    <t xml:space="preserve">Main category</t>
  </si>
  <si>
    <t xml:space="preserve">Shop type</t>
  </si>
  <si>
    <t xml:space="preserve">Sep-26 GMV in category (£)</t>
  </si>
  <si>
    <t xml:space="preserve">Units sold</t>
  </si>
  <si>
    <t xml:space="preserve">GMV MoM growth</t>
  </si>
  <si>
    <t xml:space="preserve">Units MoM growth</t>
  </si>
  <si>
    <t xml:space="preserve">Affiliate creators (Sep)</t>
  </si>
  <si>
    <t xml:space="preserve">Products with sales</t>
  </si>
  <si>
    <t xml:space="preserve">Active products</t>
  </si>
  <si>
    <t xml:space="preserve">Shop rating</t>
  </si>
  <si>
    <t xml:space="preserve">Band confidence</t>
  </si>
  <si>
    <t xml:space="preserve">Notes</t>
  </si>
  <si>
    <t xml:space="preserve">TikTok handle</t>
  </si>
  <si>
    <t xml:space="preserve">TikTok profile URL</t>
  </si>
  <si>
    <t xml:space="preserve">TikTok followers</t>
  </si>
  <si>
    <t xml:space="preserve">TikTok videos</t>
  </si>
  <si>
    <t xml:space="preserve">Shop created</t>
  </si>
  <si>
    <t xml:space="preserve">All-time GMV (£)</t>
  </si>
  <si>
    <t xml:space="preserve">All-time units</t>
  </si>
  <si>
    <t xml:space="preserve">Total products listed</t>
  </si>
  <si>
    <t xml:space="preserve">All-time affiliate creators</t>
  </si>
  <si>
    <t xml:space="preserve">All-time videos</t>
  </si>
  <si>
    <t xml:space="preserve">All-time lives</t>
  </si>
  <si>
    <t xml:space="preserve">Min price (£)</t>
  </si>
  <si>
    <t xml:space="preserve">Max price (£)</t>
  </si>
  <si>
    <t xml:space="preserve">Avg price (£)</t>
  </si>
  <si>
    <t xml:space="preserve">Delivery rate</t>
  </si>
  <si>
    <t xml:space="preserve">Positive feedback</t>
  </si>
  <si>
    <t xml:space="preserve">Response rate</t>
  </si>
  <si>
    <t xml:space="preserve">Category rank (Sep)</t>
  </si>
  <si>
    <t xml:space="preserve">UK overall rank (Sep)</t>
  </si>
  <si>
    <t xml:space="preserve">Seller ID</t>
  </si>
  <si>
    <t xml:space="preserve">Automotive &amp; Motorcycle</t>
  </si>
  <si>
    <t xml:space="preserve">Joytutus GB</t>
  </si>
  <si>
    <t xml:space="preserve">GuangZhouZaoZhongWanDianZiShangWuYouXianGongSi</t>
  </si>
  <si>
    <t xml:space="preserve">Cross-border</t>
  </si>
  <si>
    <t xml:space="preserve">High</t>
  </si>
  <si>
    <t xml:space="preserve">8647193604911503559</t>
  </si>
  <si>
    <t xml:space="preserve">HAUDIO Global</t>
  </si>
  <si>
    <t xml:space="preserve">8647509933899094535</t>
  </si>
  <si>
    <t xml:space="preserve">TIDY MONSTER UK</t>
  </si>
  <si>
    <t xml:space="preserve">Home Supplies</t>
  </si>
  <si>
    <t xml:space="preserve">UK local</t>
  </si>
  <si>
    <t xml:space="preserve">Medium – may sell in other categories</t>
  </si>
  <si>
    <t xml:space="preserve">7496062834106337441</t>
  </si>
  <si>
    <t xml:space="preserve">rose origins shop</t>
  </si>
  <si>
    <t xml:space="preserve">MODAMAYSTATION LTD</t>
  </si>
  <si>
    <t xml:space="preserve">7496079384673160186</t>
  </si>
  <si>
    <t xml:space="preserve">Hieom One</t>
  </si>
  <si>
    <t xml:space="preserve">zmgh49shop</t>
  </si>
  <si>
    <t xml:space="preserve">https://www.tiktok.com/@zmgh49shop</t>
  </si>
  <si>
    <t xml:space="preserve">2025-10-10</t>
  </si>
  <si>
    <t xml:space="preserve">7494129241962152989</t>
  </si>
  <si>
    <t xml:space="preserve">Easy Trading</t>
  </si>
  <si>
    <t xml:space="preserve">Shenzhen Heyu Technology Co., Ltd.</t>
  </si>
  <si>
    <t xml:space="preserve">7495159456203376895</t>
  </si>
  <si>
    <t xml:space="preserve">Sisocor</t>
  </si>
  <si>
    <t xml:space="preserve">sisuocor</t>
  </si>
  <si>
    <t xml:space="preserve">https://www.tiktok.com/@sisuocor</t>
  </si>
  <si>
    <t xml:space="preserve">2024-10-23</t>
  </si>
  <si>
    <t xml:space="preserve">7495918070877490097</t>
  </si>
  <si>
    <t xml:space="preserve">Yass Clean</t>
  </si>
  <si>
    <t xml:space="preserve">Yass Clean Ltd</t>
  </si>
  <si>
    <t xml:space="preserve">7495888481436796939</t>
  </si>
  <si>
    <t xml:space="preserve">Baby &amp; Maternity</t>
  </si>
  <si>
    <t xml:space="preserve">Yolk Baby Store</t>
  </si>
  <si>
    <t xml:space="preserve">Pujiang County Furui Electronic Commerce Co., Ltd.</t>
  </si>
  <si>
    <t xml:space="preserve">7495563545389467829</t>
  </si>
  <si>
    <t xml:space="preserve">Bravellous Clothing</t>
  </si>
  <si>
    <t xml:space="preserve">Shenzhen Jinxingsheng Apparel Co., Ltd.</t>
  </si>
  <si>
    <t xml:space="preserve">7495287627779574005</t>
  </si>
  <si>
    <t xml:space="preserve">Zimpli Kids</t>
  </si>
  <si>
    <t xml:space="preserve">ZIMPLI KIDS LIMITED</t>
  </si>
  <si>
    <t xml:space="preserve">Beauty &amp; Personal Care</t>
  </si>
  <si>
    <t xml:space="preserve">7495235322873678296</t>
  </si>
  <si>
    <t xml:space="preserve">BooBoo Baby Products</t>
  </si>
  <si>
    <t xml:space="preserve">IPUK Limited</t>
  </si>
  <si>
    <t xml:space="preserve">booboobabyproducts.com</t>
  </si>
  <si>
    <t xml:space="preserve">https://www.tiktok.com/@booboobabyproducts.com</t>
  </si>
  <si>
    <t xml:space="preserve">2024-08-31</t>
  </si>
  <si>
    <t xml:space="preserve">7495881815561832964</t>
  </si>
  <si>
    <t xml:space="preserve">Parents &amp; Peanuts</t>
  </si>
  <si>
    <t xml:space="preserve">7496010701964413451</t>
  </si>
  <si>
    <t xml:space="preserve">TRENDY HOUSEHOLDS</t>
  </si>
  <si>
    <t xml:space="preserve">HOUSEHOLD TRENDS LTD</t>
  </si>
  <si>
    <t xml:space="preserve">7496092059839465742</t>
  </si>
  <si>
    <t xml:space="preserve">LADIDA UK</t>
  </si>
  <si>
    <t xml:space="preserve">LADIDA (UK) BABY TOYS COMPANY LIMITED</t>
  </si>
  <si>
    <t xml:space="preserve">ladidatoystore</t>
  </si>
  <si>
    <t xml:space="preserve">https://www.tiktok.com/@ladidatoystore</t>
  </si>
  <si>
    <t xml:space="preserve">2024-02-25</t>
  </si>
  <si>
    <t xml:space="preserve">7495599747723463227</t>
  </si>
  <si>
    <t xml:space="preserve">lifeideas</t>
  </si>
  <si>
    <t xml:space="preserve">LAI BEAUTIFUL LTD</t>
  </si>
  <si>
    <t xml:space="preserve">Low – likely above £30K</t>
  </si>
  <si>
    <t xml:space="preserve">Also £19.9K in Kitchenware ranking → combined ≈ £39.0K</t>
  </si>
  <si>
    <t xml:space="preserve">7495530049968704292</t>
  </si>
  <si>
    <t xml:space="preserve">My Expert Midwife</t>
  </si>
  <si>
    <t xml:space="preserve">CHRISTMAS ANGELS LIMITED</t>
  </si>
  <si>
    <t xml:space="preserve">my_expertmidwife</t>
  </si>
  <si>
    <t xml:space="preserve">https://www.tiktok.com/@my_expertmidwife</t>
  </si>
  <si>
    <t xml:space="preserve">2023-12-19</t>
  </si>
  <si>
    <t xml:space="preserve">7495123108008462645</t>
  </si>
  <si>
    <t xml:space="preserve">Baby Toys Stop</t>
  </si>
  <si>
    <t xml:space="preserve">Dongguan Mingjia Trading Co., Ltd.</t>
  </si>
  <si>
    <t xml:space="preserve">7495160888994269822</t>
  </si>
  <si>
    <t xml:space="preserve">Sculpted by Aimee</t>
  </si>
  <si>
    <t xml:space="preserve">Sculpted by Aimee uk Ltd</t>
  </si>
  <si>
    <t xml:space="preserve">Verified shop-wide last-28-day GMV = £33,617 (56.9% product card, 43.1% affiliate)</t>
  </si>
  <si>
    <t xml:space="preserve">sculptedbyaimeestore</t>
  </si>
  <si>
    <t xml:space="preserve">https://www.tiktok.com/@sculptedbyaimeestore</t>
  </si>
  <si>
    <t xml:space="preserve">2023-12-15</t>
  </si>
  <si>
    <t xml:space="preserve">7495320015950547394</t>
  </si>
  <si>
    <t xml:space="preserve">BLOOMMIX</t>
  </si>
  <si>
    <t xml:space="preserve">poppys332</t>
  </si>
  <si>
    <t xml:space="preserve">https://www.tiktok.com/@poppys332</t>
  </si>
  <si>
    <t xml:space="preserve">2025-09-27</t>
  </si>
  <si>
    <t xml:space="preserve">7496303388086864432</t>
  </si>
  <si>
    <t xml:space="preserve">LACTOmedi</t>
  </si>
  <si>
    <t xml:space="preserve">No linked TikTok brand account found</t>
  </si>
  <si>
    <t xml:space="preserve">2026-05-16</t>
  </si>
  <si>
    <t xml:space="preserve">7494644199581058663</t>
  </si>
  <si>
    <t xml:space="preserve">NOVO OVO Nails</t>
  </si>
  <si>
    <t xml:space="preserve">Novo Ovo Shenzhen Cosmetics Co.,Ltd.</t>
  </si>
  <si>
    <t xml:space="preserve">7496099128061299639</t>
  </si>
  <si>
    <t xml:space="preserve">sofragrance</t>
  </si>
  <si>
    <t xml:space="preserve">INCOS LIMITED</t>
  </si>
  <si>
    <t xml:space="preserve">7495827636321422087</t>
  </si>
  <si>
    <t xml:space="preserve">gzolimy cosmetics</t>
  </si>
  <si>
    <t xml:space="preserve">Guangzhou Aolimei Cosmetics Co., Ltd.</t>
  </si>
  <si>
    <t xml:space="preserve">7495975730098637639</t>
  </si>
  <si>
    <t xml:space="preserve">Weekeinght</t>
  </si>
  <si>
    <t xml:space="preserve">Kitchenware</t>
  </si>
  <si>
    <t xml:space="preserve">Also £23.1K in Automotive ranking → combined ≈ £46.8K</t>
  </si>
  <si>
    <t xml:space="preserve">7494686896434349919</t>
  </si>
  <si>
    <t xml:space="preserve">GAOYU STAR</t>
  </si>
  <si>
    <t xml:space="preserve">SHENZHEN GAOYU STAR TRADING CO LTD</t>
  </si>
  <si>
    <t xml:space="preserve">Also £22.6K in Home Improvement ranking → combined ≈ £46.2K</t>
  </si>
  <si>
    <t xml:space="preserve">7494991028040600241</t>
  </si>
  <si>
    <t xml:space="preserve">TONVVD</t>
  </si>
  <si>
    <t xml:space="preserve">Shenzhen Maiwode Technology Co., Ltd.</t>
  </si>
  <si>
    <t xml:space="preserve">7495161267940658045</t>
  </si>
  <si>
    <t xml:space="preserve">WALKTOTOP</t>
  </si>
  <si>
    <t xml:space="preserve">WALKTOTOP CREATIVE LTD</t>
  </si>
  <si>
    <t xml:space="preserve">7496120993122912978</t>
  </si>
  <si>
    <t xml:space="preserve">houseofamoruk</t>
  </si>
  <si>
    <t xml:space="preserve">https://www.tiktok.com/@houseofamoruk</t>
  </si>
  <si>
    <t xml:space="preserve">2022-06-26</t>
  </si>
  <si>
    <t xml:space="preserve">7494557294615235116</t>
  </si>
  <si>
    <t xml:space="preserve">Excellent home appli</t>
  </si>
  <si>
    <t xml:space="preserve">Pingyang County Leixing Crafts Trading Firm</t>
  </si>
  <si>
    <t xml:space="preserve">7495625978765674959</t>
  </si>
  <si>
    <t xml:space="preserve">Zoistar</t>
  </si>
  <si>
    <t xml:space="preserve">Fashion Accessories</t>
  </si>
  <si>
    <t xml:space="preserve">7494619105434174471</t>
  </si>
  <si>
    <t xml:space="preserve">Collectibles</t>
  </si>
  <si>
    <t xml:space="preserve">ACE HITS TCG LTD</t>
  </si>
  <si>
    <t xml:space="preserve">acehitstcg</t>
  </si>
  <si>
    <t xml:space="preserve">https://www.tiktok.com/@acehitstcg</t>
  </si>
  <si>
    <t xml:space="preserve">7494185371692270821</t>
  </si>
  <si>
    <t xml:space="preserve">Spens Pokestop</t>
  </si>
  <si>
    <t xml:space="preserve">TOP G'S LIMITED</t>
  </si>
  <si>
    <t xml:space="preserve">7494751408113355675</t>
  </si>
  <si>
    <t xml:space="preserve">BMJBREAKS</t>
  </si>
  <si>
    <t xml:space="preserve">7494638880325141702</t>
  </si>
  <si>
    <t xml:space="preserve">TCHewy Collectables</t>
  </si>
  <si>
    <t xml:space="preserve">7494665262943013477</t>
  </si>
  <si>
    <t xml:space="preserve">SportsMemorabilia.co.uk</t>
  </si>
  <si>
    <t xml:space="preserve">7496312090293537514</t>
  </si>
  <si>
    <t xml:space="preserve">Wiggyscollectables</t>
  </si>
  <si>
    <t xml:space="preserve">wiggyscollectables</t>
  </si>
  <si>
    <t xml:space="preserve">https://www.tiktok.com/@wiggyscollectables</t>
  </si>
  <si>
    <t xml:space="preserve">2023-07-20</t>
  </si>
  <si>
    <t xml:space="preserve">7494801336240933390</t>
  </si>
  <si>
    <t xml:space="preserve">PrestinePalaceTCG</t>
  </si>
  <si>
    <t xml:space="preserve">7494666354480155165</t>
  </si>
  <si>
    <t xml:space="preserve">Monster TCG</t>
  </si>
  <si>
    <t xml:space="preserve">7494764502796895239</t>
  </si>
  <si>
    <t xml:space="preserve">West London collectible's</t>
  </si>
  <si>
    <t xml:space="preserve">2026-05-09</t>
  </si>
  <si>
    <t xml:space="preserve">7494207440330851806</t>
  </si>
  <si>
    <t xml:space="preserve">Dreamy Cards</t>
  </si>
  <si>
    <t xml:space="preserve">7494398066551915778</t>
  </si>
  <si>
    <t xml:space="preserve">Computers &amp; Office Equipment</t>
  </si>
  <si>
    <t xml:space="preserve">Rosexpress-Logistics</t>
  </si>
  <si>
    <t xml:space="preserve">Rosemond Stores LTD</t>
  </si>
  <si>
    <t xml:space="preserve">rosexpress_delivery_serv</t>
  </si>
  <si>
    <t xml:space="preserve">https://www.tiktok.com/@rosexpress_delivery_serv</t>
  </si>
  <si>
    <t xml:space="preserve">2025-08-19</t>
  </si>
  <si>
    <t xml:space="preserve">7495809559631857717</t>
  </si>
  <si>
    <t xml:space="preserve">Ugreen UK</t>
  </si>
  <si>
    <t xml:space="preserve">Phones &amp; Electronics</t>
  </si>
  <si>
    <t xml:space="preserve">7494489357146359709</t>
  </si>
  <si>
    <t xml:space="preserve">DK Bookking</t>
  </si>
  <si>
    <t xml:space="preserve">Pingyang County Daokang Electronic Commerce Business Firm</t>
  </si>
  <si>
    <t xml:space="preserve">7496136867047508965</t>
  </si>
  <si>
    <t xml:space="preserve">BumbleBrush</t>
  </si>
  <si>
    <t xml:space="preserve">Zhanggong District Art Painting Electronic Studio (Individual Industrial and Commercial)</t>
  </si>
  <si>
    <t xml:space="preserve">7495980972160354526</t>
  </si>
  <si>
    <t xml:space="preserve">KOKO Couture</t>
  </si>
  <si>
    <t xml:space="preserve">GOLDEN BIRD TRADING (UK) LIMITED</t>
  </si>
  <si>
    <t xml:space="preserve">7494768467373426906</t>
  </si>
  <si>
    <t xml:space="preserve">Tewiky US</t>
  </si>
  <si>
    <t xml:space="preserve">8650486405252094613</t>
  </si>
  <si>
    <t xml:space="preserve">Topshe classic wig</t>
  </si>
  <si>
    <t xml:space="preserve">Yiwu Lanmei Wig Co., Ltd.</t>
  </si>
  <si>
    <t xml:space="preserve">7495159457714243881</t>
  </si>
  <si>
    <t xml:space="preserve">BOZLUN Club</t>
  </si>
  <si>
    <t xml:space="preserve">FARIDEH INTERNATIONAL LTD</t>
  </si>
  <si>
    <t xml:space="preserve">bozlun_official</t>
  </si>
  <si>
    <t xml:space="preserve">https://www.tiktok.com/@bozlun_official</t>
  </si>
  <si>
    <t xml:space="preserve">2025-09-25</t>
  </si>
  <si>
    <t xml:space="preserve">7496313128042793836</t>
  </si>
  <si>
    <t xml:space="preserve">Blinghair Factory Store</t>
  </si>
  <si>
    <t xml:space="preserve">MYLOCKME FASHION COMPANY LTD</t>
  </si>
  <si>
    <t xml:space="preserve">blinghairfactorystore_</t>
  </si>
  <si>
    <t xml:space="preserve">https://www.tiktok.com/@blinghairfactorystore_</t>
  </si>
  <si>
    <t xml:space="preserve">2025-03-09</t>
  </si>
  <si>
    <t xml:space="preserve">7496103548228831479</t>
  </si>
  <si>
    <t xml:space="preserve">Missbuy Human Wig</t>
  </si>
  <si>
    <t xml:space="preserve">7494226647323084130</t>
  </si>
  <si>
    <t xml:space="preserve">YourBeautyAccs</t>
  </si>
  <si>
    <t xml:space="preserve">Yiwu Kuping Electronic Commerce Business Firm (Individual Industrial and Commercial)</t>
  </si>
  <si>
    <t xml:space="preserve">7496097593052203571</t>
  </si>
  <si>
    <t xml:space="preserve">Johnsinokeylikelyoakley</t>
  </si>
  <si>
    <t xml:space="preserve">7494837846595240988</t>
  </si>
  <si>
    <t xml:space="preserve">Daily Brit</t>
  </si>
  <si>
    <t xml:space="preserve">2026-07-17</t>
  </si>
  <si>
    <t xml:space="preserve">7494706580613399846</t>
  </si>
  <si>
    <t xml:space="preserve">Luxe Trinket Studio</t>
  </si>
  <si>
    <t xml:space="preserve">7494842864727787486</t>
  </si>
  <si>
    <t xml:space="preserve">Food &amp; Beverages</t>
  </si>
  <si>
    <t xml:space="preserve">Serious Pig UK</t>
  </si>
  <si>
    <t xml:space="preserve">SERIOUS PIG LTD</t>
  </si>
  <si>
    <t xml:space="preserve">7495583415237118286</t>
  </si>
  <si>
    <t xml:space="preserve">RM Wholesale</t>
  </si>
  <si>
    <t xml:space="preserve">RM Foods Wholesale Ltd</t>
  </si>
  <si>
    <t xml:space="preserve">7495588458058582521</t>
  </si>
  <si>
    <t xml:space="preserve">Joyofsweets.com</t>
  </si>
  <si>
    <t xml:space="preserve">7494083667368576490</t>
  </si>
  <si>
    <t xml:space="preserve">Taste Flavor Co UK</t>
  </si>
  <si>
    <t xml:space="preserve">taste_flavorco_uk</t>
  </si>
  <si>
    <t xml:space="preserve">https://www.tiktok.com/@taste_flavorco_uk</t>
  </si>
  <si>
    <t xml:space="preserve">2026-02-02</t>
  </si>
  <si>
    <t xml:space="preserve">7496320596825901708</t>
  </si>
  <si>
    <t xml:space="preserve">Pak Watan dried fruits</t>
  </si>
  <si>
    <t xml:space="preserve">pakwatandriedfruits</t>
  </si>
  <si>
    <t xml:space="preserve">https://www.tiktok.com/@pakwatandriedfruits</t>
  </si>
  <si>
    <t xml:space="preserve">2023-05-29</t>
  </si>
  <si>
    <t xml:space="preserve">7494978223821981823</t>
  </si>
  <si>
    <t xml:space="preserve">Candy N Choc</t>
  </si>
  <si>
    <t xml:space="preserve">RUDE CHOCOLATES LTD</t>
  </si>
  <si>
    <t xml:space="preserve">7494813448692861196</t>
  </si>
  <si>
    <t xml:space="preserve">Wholesale Motion</t>
  </si>
  <si>
    <t xml:space="preserve">Wholesale Motion Limited</t>
  </si>
  <si>
    <t xml:space="preserve">7495641740536613431</t>
  </si>
  <si>
    <t xml:space="preserve">TheSoftDrinksChannel</t>
  </si>
  <si>
    <t xml:space="preserve">REX BROWN LIMITED</t>
  </si>
  <si>
    <t xml:space="preserve">7494528588282825619</t>
  </si>
  <si>
    <t xml:space="preserve">Bakhtar Market</t>
  </si>
  <si>
    <t xml:space="preserve">Texpo Group Ltd</t>
  </si>
  <si>
    <t xml:space="preserve">bakhtar.market</t>
  </si>
  <si>
    <t xml:space="preserve">https://www.tiktok.com/@bakhtar.market</t>
  </si>
  <si>
    <t xml:space="preserve">2025-03-29</t>
  </si>
  <si>
    <t xml:space="preserve">7495959303600572964</t>
  </si>
  <si>
    <t xml:space="preserve">Topline Retail Solutions</t>
  </si>
  <si>
    <t xml:space="preserve">7496229702565071715</t>
  </si>
  <si>
    <t xml:space="preserve">Health</t>
  </si>
  <si>
    <t xml:space="preserve">Olympus Roots</t>
  </si>
  <si>
    <t xml:space="preserve">7496009626476120090</t>
  </si>
  <si>
    <t xml:space="preserve">InsightSupps</t>
  </si>
  <si>
    <t xml:space="preserve">Insight Supps LTD</t>
  </si>
  <si>
    <t xml:space="preserve">7496248852106610959</t>
  </si>
  <si>
    <t xml:space="preserve">The Mellow Company</t>
  </si>
  <si>
    <t xml:space="preserve">MELLOW MUM LIMITED</t>
  </si>
  <si>
    <t xml:space="preserve">mellowpatchesuk</t>
  </si>
  <si>
    <t xml:space="preserve">https://www.tiktok.com/@mellowpatchesuk</t>
  </si>
  <si>
    <t xml:space="preserve">2023-08-02</t>
  </si>
  <si>
    <t xml:space="preserve">7494892887998564464</t>
  </si>
  <si>
    <t xml:space="preserve">Hello Fit</t>
  </si>
  <si>
    <t xml:space="preserve">7494535530331276857</t>
  </si>
  <si>
    <t xml:space="preserve">Roundway Supplements</t>
  </si>
  <si>
    <t xml:space="preserve">TG Nutrition Limited</t>
  </si>
  <si>
    <t xml:space="preserve">roundway.supplements</t>
  </si>
  <si>
    <t xml:space="preserve">https://www.tiktok.com/@roundway.supplements</t>
  </si>
  <si>
    <t xml:space="preserve">2025-08-04</t>
  </si>
  <si>
    <t xml:space="preserve">7496235599769733898</t>
  </si>
  <si>
    <t xml:space="preserve">Natural support UK</t>
  </si>
  <si>
    <t xml:space="preserve">7494241797132420844</t>
  </si>
  <si>
    <t xml:space="preserve">PURETREX</t>
  </si>
  <si>
    <t xml:space="preserve">7495755642714885070</t>
  </si>
  <si>
    <t xml:space="preserve">Rheal</t>
  </si>
  <si>
    <t xml:space="preserve">RHEAL SUPERFOODS LTD</t>
  </si>
  <si>
    <t xml:space="preserve">rhealsuperfoods</t>
  </si>
  <si>
    <t xml:space="preserve">https://www.tiktok.com/@rhealsuperfoods</t>
  </si>
  <si>
    <t xml:space="preserve">2023-12-01</t>
  </si>
  <si>
    <t xml:space="preserve">7495330333042903482</t>
  </si>
  <si>
    <t xml:space="preserve">WellnessWizards</t>
  </si>
  <si>
    <t xml:space="preserve">SHAKIR ENTERPRISES LTD</t>
  </si>
  <si>
    <t xml:space="preserve">7495780130678737680</t>
  </si>
  <si>
    <t xml:space="preserve">Phizz UK</t>
  </si>
  <si>
    <t xml:space="preserve">7494834122040970227</t>
  </si>
  <si>
    <t xml:space="preserve">Home Improvement</t>
  </si>
  <si>
    <t xml:space="preserve">AlloyNook</t>
  </si>
  <si>
    <t xml:space="preserve">7494580785752802434</t>
  </si>
  <si>
    <t xml:space="preserve">Atmosphere lamp</t>
  </si>
  <si>
    <t xml:space="preserve">Shenzhen Delishun Technology Co., Ltd.</t>
  </si>
  <si>
    <t xml:space="preserve">7495310762287663602</t>
  </si>
  <si>
    <t xml:space="preserve">KOKOMA.UK</t>
  </si>
  <si>
    <t xml:space="preserve">KOKOMA LIMITED</t>
  </si>
  <si>
    <t xml:space="preserve">kokomauk5</t>
  </si>
  <si>
    <t xml:space="preserve">https://www.tiktok.com/@kokomauk5</t>
  </si>
  <si>
    <t xml:space="preserve">2025-06-16</t>
  </si>
  <si>
    <t xml:space="preserve">7496186035787565066</t>
  </si>
  <si>
    <t xml:space="preserve">Chocbyclo</t>
  </si>
  <si>
    <t xml:space="preserve">jghjgmxq</t>
  </si>
  <si>
    <t xml:space="preserve">https://www.tiktok.com/@jghjgmxq</t>
  </si>
  <si>
    <t xml:space="preserve">2025-07-10</t>
  </si>
  <si>
    <t xml:space="preserve">7496240027764230647</t>
  </si>
  <si>
    <t xml:space="preserve">Dazzling Home</t>
  </si>
  <si>
    <t xml:space="preserve">Dongguan Ansui Optoelectronics Technology Co., Ltd</t>
  </si>
  <si>
    <t xml:space="preserve">7495172323409365878</t>
  </si>
  <si>
    <t xml:space="preserve">Crystal Lights</t>
  </si>
  <si>
    <t xml:space="preserve">7494374220723226035</t>
  </si>
  <si>
    <t xml:space="preserve">TH CLICKMART</t>
  </si>
  <si>
    <t xml:space="preserve">thclickmart</t>
  </si>
  <si>
    <t xml:space="preserve">https://www.tiktok.com/@thclickmart</t>
  </si>
  <si>
    <t xml:space="preserve">2025-11-27</t>
  </si>
  <si>
    <t xml:space="preserve">7494249894191990781</t>
  </si>
  <si>
    <t xml:space="preserve">Nuptiostore</t>
  </si>
  <si>
    <t xml:space="preserve">fuzhouxianhouxinxijishuyouxiangongsi</t>
  </si>
  <si>
    <t xml:space="preserve">7496099140991879404</t>
  </si>
  <si>
    <t xml:space="preserve">Neat Living Essentials</t>
  </si>
  <si>
    <t xml:space="preserve">EAGER GOODS LTD</t>
  </si>
  <si>
    <t xml:space="preserve">7496151373717277526</t>
  </si>
  <si>
    <t xml:space="preserve">BREEZE AT HOME LIMITED</t>
  </si>
  <si>
    <t xml:space="preserve">Sports &amp; Outdoor</t>
  </si>
  <si>
    <t xml:space="preserve">7496212154105039253</t>
  </si>
  <si>
    <t xml:space="preserve">Phoenix UK</t>
  </si>
  <si>
    <t xml:space="preserve">ALTA &amp; CO TRADING LIMITED</t>
  </si>
  <si>
    <t xml:space="preserve">7494849083445840856</t>
  </si>
  <si>
    <t xml:space="preserve">Dock &amp; Bay</t>
  </si>
  <si>
    <t xml:space="preserve">DOCK &amp; BAY LTD</t>
  </si>
  <si>
    <t xml:space="preserve">dockandbay</t>
  </si>
  <si>
    <t xml:space="preserve">https://www.tiktok.com/@dockandbay</t>
  </si>
  <si>
    <t xml:space="preserve">2024-03-22</t>
  </si>
  <si>
    <t xml:space="preserve">7495211149111364436</t>
  </si>
  <si>
    <t xml:space="preserve">Bulkuno</t>
  </si>
  <si>
    <t xml:space="preserve">7494416141233521980</t>
  </si>
  <si>
    <t xml:space="preserve">CASA AND PLANTS LIMITED</t>
  </si>
  <si>
    <t xml:space="preserve">7496260518464490323</t>
  </si>
  <si>
    <t xml:space="preserve">Sky Reverie</t>
  </si>
  <si>
    <t xml:space="preserve">INPORTSOUL LTD</t>
  </si>
  <si>
    <t xml:space="preserve">violetpap12</t>
  </si>
  <si>
    <t xml:space="preserve">https://www.tiktok.com/@violetpap12</t>
  </si>
  <si>
    <t xml:space="preserve">2025-04-07</t>
  </si>
  <si>
    <t xml:space="preserve">7496126355154832285</t>
  </si>
  <si>
    <t xml:space="preserve">The Gift House UK</t>
  </si>
  <si>
    <t xml:space="preserve">thegifthouseuk</t>
  </si>
  <si>
    <t xml:space="preserve">https://www.tiktok.com/@thegifthouseuk</t>
  </si>
  <si>
    <t xml:space="preserve">2024-01-15</t>
  </si>
  <si>
    <t xml:space="preserve">7495342211693119559</t>
  </si>
  <si>
    <t xml:space="preserve">Soil Heart LTD</t>
  </si>
  <si>
    <t xml:space="preserve">SOILHEART LTD</t>
  </si>
  <si>
    <t xml:space="preserve">Household Appliances</t>
  </si>
  <si>
    <t xml:space="preserve">7496021801734014992</t>
  </si>
  <si>
    <t xml:space="preserve">DetailCraft Hub</t>
  </si>
  <si>
    <t xml:space="preserve">Shapingba District weihang E-commerce Business Department (Individual Business Household)</t>
  </si>
  <si>
    <t xml:space="preserve">7496219487908563446</t>
  </si>
  <si>
    <t xml:space="preserve">Antimbee Direct</t>
  </si>
  <si>
    <t xml:space="preserve">7494467442478515809</t>
  </si>
  <si>
    <t xml:space="preserve">Necizon</t>
  </si>
  <si>
    <t xml:space="preserve">ALNOUMAN LTD</t>
  </si>
  <si>
    <t xml:space="preserve">7496025841483024447</t>
  </si>
  <si>
    <t xml:space="preserve">Aoemiyinguking</t>
  </si>
  <si>
    <t xml:space="preserve">7494680611966846717</t>
  </si>
  <si>
    <t xml:space="preserve">NOYWER</t>
  </si>
  <si>
    <t xml:space="preserve">iwealmt05</t>
  </si>
  <si>
    <t xml:space="preserve">https://www.tiktok.com/@iwealmt05</t>
  </si>
  <si>
    <t xml:space="preserve">2025-03-25</t>
  </si>
  <si>
    <t xml:space="preserve">7496105918049520087</t>
  </si>
  <si>
    <t xml:space="preserve">Partyhouse979</t>
  </si>
  <si>
    <t xml:space="preserve">8.eight84</t>
  </si>
  <si>
    <t xml:space="preserve">https://www.tiktok.com/@8.eight84</t>
  </si>
  <si>
    <t xml:space="preserve">2025-11-29</t>
  </si>
  <si>
    <t xml:space="preserve">7494259526260196416</t>
  </si>
  <si>
    <t xml:space="preserve">Silentnight</t>
  </si>
  <si>
    <t xml:space="preserve">Textiles &amp; Soft Furnishings</t>
  </si>
  <si>
    <t xml:space="preserve">7494642494021994303</t>
  </si>
  <si>
    <t xml:space="preserve">Value Picks</t>
  </si>
  <si>
    <t xml:space="preserve">Ruian Yinlang Daily Necessities Trading Firm</t>
  </si>
  <si>
    <t xml:space="preserve">7495852311576677322</t>
  </si>
  <si>
    <t xml:space="preserve">JONR official</t>
  </si>
  <si>
    <t xml:space="preserve">2026-06-22</t>
  </si>
  <si>
    <t xml:space="preserve">7494654770061805079</t>
  </si>
  <si>
    <t xml:space="preserve">Fretta UK</t>
  </si>
  <si>
    <t xml:space="preserve">Yantai Lanpai Network Technology Co., Ltd</t>
  </si>
  <si>
    <t xml:space="preserve">7496304354731919820</t>
  </si>
  <si>
    <t xml:space="preserve">kelly beauty chic</t>
  </si>
  <si>
    <t xml:space="preserve">TSZ WING TRADING LTD</t>
  </si>
  <si>
    <t xml:space="preserve">Also £23.0K in Automotive ranking → combined ≈ £33.6K</t>
  </si>
  <si>
    <t xml:space="preserve">7496293536374033352</t>
  </si>
  <si>
    <t xml:space="preserve">Kids' Fashion</t>
  </si>
  <si>
    <t xml:space="preserve">Comfrt UK</t>
  </si>
  <si>
    <t xml:space="preserve">Womenswear &amp; Underwear</t>
  </si>
  <si>
    <t xml:space="preserve">7494490073559106882</t>
  </si>
  <si>
    <t xml:space="preserve">Wojit</t>
  </si>
  <si>
    <t xml:space="preserve">Jinjiang Wojite Trading Co., Ltd.</t>
  </si>
  <si>
    <t xml:space="preserve">7496147157339441503</t>
  </si>
  <si>
    <t xml:space="preserve">VanillaUnderground</t>
  </si>
  <si>
    <t xml:space="preserve">PREMIER P. LTD</t>
  </si>
  <si>
    <t xml:space="preserve">Menswear &amp; Underwear</t>
  </si>
  <si>
    <t xml:space="preserve">7495687517525674259</t>
  </si>
  <si>
    <t xml:space="preserve">Morph Costumes</t>
  </si>
  <si>
    <t xml:space="preserve">AFG MEDIA LTD</t>
  </si>
  <si>
    <t xml:space="preserve">morphcostumes</t>
  </si>
  <si>
    <t xml:space="preserve">https://www.tiktok.com/@morphcostumes</t>
  </si>
  <si>
    <t xml:space="preserve">2023-09-06</t>
  </si>
  <si>
    <t xml:space="preserve">7495021745533847811</t>
  </si>
  <si>
    <t xml:space="preserve">Pengyi Children's Shoes</t>
  </si>
  <si>
    <t xml:space="preserve">Taizhou Pengyi Footwear Co., Ltd.</t>
  </si>
  <si>
    <t xml:space="preserve">7495880333992626492</t>
  </si>
  <si>
    <t xml:space="preserve">Mini Haute</t>
  </si>
  <si>
    <t xml:space="preserve">7494537758821942374</t>
  </si>
  <si>
    <t xml:space="preserve">Label Cutters</t>
  </si>
  <si>
    <t xml:space="preserve">PARADISE CHILDRENS WEAR LIMITED</t>
  </si>
  <si>
    <t xml:space="preserve">label.cutters</t>
  </si>
  <si>
    <t xml:space="preserve">https://www.tiktok.com/@label.cutters</t>
  </si>
  <si>
    <t xml:space="preserve">7495009494783330952</t>
  </si>
  <si>
    <t xml:space="preserve">LBS PJs</t>
  </si>
  <si>
    <t xml:space="preserve">Hangzhou Lanbaosi Trading Co., Ltd.</t>
  </si>
  <si>
    <t xml:space="preserve">7495154605431557115</t>
  </si>
  <si>
    <t xml:space="preserve">CROCS UK</t>
  </si>
  <si>
    <t xml:space="preserve">Crocs Europe B.V.</t>
  </si>
  <si>
    <t xml:space="preserve">Shoes</t>
  </si>
  <si>
    <t xml:space="preserve">7496147334275566468</t>
  </si>
  <si>
    <t xml:space="preserve">Cub Quest</t>
  </si>
  <si>
    <t xml:space="preserve">8655739747381577604</t>
  </si>
  <si>
    <t xml:space="preserve">Chic Utensils</t>
  </si>
  <si>
    <t xml:space="preserve">Shenzhen Bao'an District Shangpinde Ceramic Home Furnishing Trading Firm</t>
  </si>
  <si>
    <t xml:space="preserve">7495974475196894155</t>
  </si>
  <si>
    <t xml:space="preserve">Home Pulse Essentials</t>
  </si>
  <si>
    <t xml:space="preserve">THEIASTRADE LIMITED</t>
  </si>
  <si>
    <t xml:space="preserve">7496134676313639697</t>
  </si>
  <si>
    <t xml:space="preserve">Brits Home Garden</t>
  </si>
  <si>
    <t xml:space="preserve">JANOON LTD</t>
  </si>
  <si>
    <t xml:space="preserve">7495407685748885902</t>
  </si>
  <si>
    <t xml:space="preserve">Orangecom</t>
  </si>
  <si>
    <t xml:space="preserve">2026-07-30</t>
  </si>
  <si>
    <t xml:space="preserve">7494787915138893803</t>
  </si>
  <si>
    <t xml:space="preserve">BT International</t>
  </si>
  <si>
    <t xml:space="preserve">BIN TAHIR INTERNATIONAL LIMITED</t>
  </si>
  <si>
    <t xml:space="preserve">bt.international1</t>
  </si>
  <si>
    <t xml:space="preserve">https://www.tiktok.com/@bt.international1</t>
  </si>
  <si>
    <t xml:space="preserve">2025-02-07</t>
  </si>
  <si>
    <t xml:space="preserve">7495992110507395229</t>
  </si>
  <si>
    <t xml:space="preserve">Anyvoyage LTD</t>
  </si>
  <si>
    <t xml:space="preserve">ANYVOYAGE LTD</t>
  </si>
  <si>
    <t xml:space="preserve">7496139229169421133</t>
  </si>
  <si>
    <t xml:space="preserve">HomeLive Furniture</t>
  </si>
  <si>
    <t xml:space="preserve">SWIFTGLOBE LIMITED</t>
  </si>
  <si>
    <t xml:space="preserve">homelivestore</t>
  </si>
  <si>
    <t xml:space="preserve">https://www.tiktok.com/@homelivestore</t>
  </si>
  <si>
    <t xml:space="preserve">2025-03-12</t>
  </si>
  <si>
    <t xml:space="preserve">7496109939937151757</t>
  </si>
  <si>
    <t xml:space="preserve">Cool Friends</t>
  </si>
  <si>
    <t xml:space="preserve">Yiwu Kuyou Electronic Commerce Co., Ltd.</t>
  </si>
  <si>
    <t xml:space="preserve">7495494392411490631</t>
  </si>
  <si>
    <t xml:space="preserve">The Ordinary Store UK</t>
  </si>
  <si>
    <t xml:space="preserve">DECIEM UK LTD.</t>
  </si>
  <si>
    <t xml:space="preserve">7495946411494640638</t>
  </si>
  <si>
    <t xml:space="preserve">Clear Cut Gents</t>
  </si>
  <si>
    <t xml:space="preserve">Guangzhou Bangyue Fushi Co., Ltd.</t>
  </si>
  <si>
    <t xml:space="preserve">7496027516524136768</t>
  </si>
  <si>
    <t xml:space="preserve">Golfbase</t>
  </si>
  <si>
    <t xml:space="preserve">Golfbase Limited</t>
  </si>
  <si>
    <t xml:space="preserve">7496129616391474057</t>
  </si>
  <si>
    <t xml:space="preserve">Sitting pretty</t>
  </si>
  <si>
    <t xml:space="preserve">I'M SITTING PRETTY LTD</t>
  </si>
  <si>
    <t xml:space="preserve">7494968514884635430</t>
  </si>
  <si>
    <t xml:space="preserve">Leisure Tailor Co.</t>
  </si>
  <si>
    <t xml:space="preserve">7496260148372408991</t>
  </si>
  <si>
    <t xml:space="preserve">GlareBan Store</t>
  </si>
  <si>
    <t xml:space="preserve">Jinjiang Tuofu Electronic Commerce Co., Ltd.</t>
  </si>
  <si>
    <t xml:space="preserve">7495179661780552152</t>
  </si>
  <si>
    <t xml:space="preserve">CONJUESS FASHION</t>
  </si>
  <si>
    <t xml:space="preserve">Foshan Yadi Zhiyi Co., Ltd.</t>
  </si>
  <si>
    <t xml:space="preserve">7495172199169887220</t>
  </si>
  <si>
    <t xml:space="preserve">Luxe Fiber</t>
  </si>
  <si>
    <t xml:space="preserve">Shishi City Yipin Guanren Trade Co., Ltd.</t>
  </si>
  <si>
    <t xml:space="preserve">7496081604149610533</t>
  </si>
  <si>
    <t xml:space="preserve">Silver Birch Outlet</t>
  </si>
  <si>
    <t xml:space="preserve">ANSWER DIRECT LIMITED</t>
  </si>
  <si>
    <t xml:space="preserve">silverbirchclothing</t>
  </si>
  <si>
    <t xml:space="preserve">https://www.tiktok.com/@silverbirchclothing</t>
  </si>
  <si>
    <t xml:space="preserve">2023-05-26</t>
  </si>
  <si>
    <t xml:space="preserve">7494808370965285337</t>
  </si>
  <si>
    <t xml:space="preserve">Macropick</t>
  </si>
  <si>
    <t xml:space="preserve">macropick85</t>
  </si>
  <si>
    <t xml:space="preserve">https://www.tiktok.com/@macropick85</t>
  </si>
  <si>
    <t xml:space="preserve">2026-02-17</t>
  </si>
  <si>
    <t xml:space="preserve">7494410328226694954</t>
  </si>
  <si>
    <t xml:space="preserve">shuai en Trading</t>
  </si>
  <si>
    <t xml:space="preserve">Quanzhou Shi Shuen Trading Co., Ltd.</t>
  </si>
  <si>
    <t xml:space="preserve">7495159844089006524</t>
  </si>
  <si>
    <t xml:space="preserve">Muslim Fashion</t>
  </si>
  <si>
    <t xml:space="preserve">ruisusu Marketplace</t>
  </si>
  <si>
    <t xml:space="preserve">2026-06-23</t>
  </si>
  <si>
    <t xml:space="preserve">7494673487618017105</t>
  </si>
  <si>
    <t xml:space="preserve">Chic Elegance Dress</t>
  </si>
  <si>
    <t xml:space="preserve">7494582559166465881</t>
  </si>
  <si>
    <t xml:space="preserve">SY-Ornaments</t>
  </si>
  <si>
    <t xml:space="preserve">7494125171680773365</t>
  </si>
  <si>
    <t xml:space="preserve">Muslim Cloaks</t>
  </si>
  <si>
    <t xml:space="preserve">Foshan Yibeizi Apparel Co., Ltd.</t>
  </si>
  <si>
    <t xml:space="preserve">7496147893557102687</t>
  </si>
  <si>
    <t xml:space="preserve">Bee abayas</t>
  </si>
  <si>
    <t xml:space="preserve">7496313535135320479</t>
  </si>
  <si>
    <t xml:space="preserve">Modest Abaya</t>
  </si>
  <si>
    <t xml:space="preserve">Guang zhou shi yue xiu qu chao meng shi zhuang shang hang</t>
  </si>
  <si>
    <t xml:space="preserve">7495562056939834365</t>
  </si>
  <si>
    <t xml:space="preserve">FashionMaison</t>
  </si>
  <si>
    <t xml:space="preserve">7495204801904805894</t>
  </si>
  <si>
    <t xml:space="preserve">Bluestones</t>
  </si>
  <si>
    <t xml:space="preserve">bluestonesmodestfashion1</t>
  </si>
  <si>
    <t xml:space="preserve">https://www.tiktok.com/@bluestonesmodestfashion1</t>
  </si>
  <si>
    <t xml:space="preserve">2023-06-26</t>
  </si>
  <si>
    <t xml:space="preserve">7495084660126419682</t>
  </si>
  <si>
    <t xml:space="preserve">Musleemat</t>
  </si>
  <si>
    <t xml:space="preserve">MUSLEEMAT LTD</t>
  </si>
  <si>
    <t xml:space="preserve">7495350896095561800</t>
  </si>
  <si>
    <t xml:space="preserve">HOUSE OF NOORAH</t>
  </si>
  <si>
    <t xml:space="preserve">HouseofNoor</t>
  </si>
  <si>
    <t xml:space="preserve">7496139642347292989</t>
  </si>
  <si>
    <t xml:space="preserve">Pet Supplies</t>
  </si>
  <si>
    <t xml:space="preserve">Living and Home UK</t>
  </si>
  <si>
    <t xml:space="preserve">LIVING AND HOME LIMITED</t>
  </si>
  <si>
    <t xml:space="preserve">7494552045064128969</t>
  </si>
  <si>
    <t xml:space="preserve">Manor Farm Dog Treats</t>
  </si>
  <si>
    <t xml:space="preserve">manorfarmdogtreats</t>
  </si>
  <si>
    <t xml:space="preserve">https://www.tiktok.com/@manorfarmdogtreats</t>
  </si>
  <si>
    <t xml:space="preserve">2023-08-22</t>
  </si>
  <si>
    <t xml:space="preserve">7495182733713705045</t>
  </si>
  <si>
    <t xml:space="preserve">Thinkprice</t>
  </si>
  <si>
    <t xml:space="preserve">Vivo Technologies Limited</t>
  </si>
  <si>
    <t xml:space="preserve">Also £42.6K (Home Improvement) and £34.4K (Automotive) → well above band</t>
  </si>
  <si>
    <t xml:space="preserve">7494844328726595706</t>
  </si>
  <si>
    <t xml:space="preserve">PAWLICIOUS</t>
  </si>
  <si>
    <t xml:space="preserve">7494601824272287193</t>
  </si>
  <si>
    <t xml:space="preserve">Home-Store</t>
  </si>
  <si>
    <t xml:space="preserve">7494863434445654405</t>
  </si>
  <si>
    <t xml:space="preserve">Petclear UK</t>
  </si>
  <si>
    <t xml:space="preserve">LINGCHUAN LTD</t>
  </si>
  <si>
    <t xml:space="preserve">7495996894187653778</t>
  </si>
  <si>
    <t xml:space="preserve">WonderPaws Studio</t>
  </si>
  <si>
    <t xml:space="preserve">7494543067232634326</t>
  </si>
  <si>
    <t xml:space="preserve">Riverside Pet</t>
  </si>
  <si>
    <t xml:space="preserve">HYPERSONIC WHOLESALE LTD</t>
  </si>
  <si>
    <t xml:space="preserve">7495155952172436474</t>
  </si>
  <si>
    <t xml:space="preserve">The Delicious Dog Food Company</t>
  </si>
  <si>
    <t xml:space="preserve">thedeliciousdogfoodco</t>
  </si>
  <si>
    <t xml:space="preserve">https://www.tiktok.com/@thedeliciousdogfoodco</t>
  </si>
  <si>
    <t xml:space="preserve">2025-04-19</t>
  </si>
  <si>
    <t xml:space="preserve">7496136239388395952</t>
  </si>
  <si>
    <t xml:space="preserve">Raw Direct</t>
  </si>
  <si>
    <t xml:space="preserve">Morgan's Trade Ltd</t>
  </si>
  <si>
    <t xml:space="preserve">7495919050091629180</t>
  </si>
  <si>
    <t xml:space="preserve">PixelHive UK</t>
  </si>
  <si>
    <t xml:space="preserve">Qujing Fengcai Technology Co Ltd</t>
  </si>
  <si>
    <t xml:space="preserve">Also £24.5K in Home Improvement ranking → combined ≈ £35.6K</t>
  </si>
  <si>
    <t xml:space="preserve">7496227861658634853</t>
  </si>
  <si>
    <t xml:space="preserve">CYBORIS SOUND</t>
  </si>
  <si>
    <t xml:space="preserve">Shenzhen Yougen Onion Technology Co Ltd</t>
  </si>
  <si>
    <t xml:space="preserve">7496107660142610817</t>
  </si>
  <si>
    <t xml:space="preserve">EverFlow AI Tech</t>
  </si>
  <si>
    <t xml:space="preserve">2026-08-03</t>
  </si>
  <si>
    <t xml:space="preserve">7494795508242548444</t>
  </si>
  <si>
    <t xml:space="preserve">Apex Case</t>
  </si>
  <si>
    <t xml:space="preserve">7494462348451743218</t>
  </si>
  <si>
    <t xml:space="preserve">Currys</t>
  </si>
  <si>
    <t xml:space="preserve">7494722318288848344</t>
  </si>
  <si>
    <t xml:space="preserve">Mavix Electronics UK</t>
  </si>
  <si>
    <t xml:space="preserve">7494498314484942589</t>
  </si>
  <si>
    <t xml:space="preserve">DazzaD</t>
  </si>
  <si>
    <t xml:space="preserve">2025-11-26</t>
  </si>
  <si>
    <t xml:space="preserve">7494264520903525445</t>
  </si>
  <si>
    <t xml:space="preserve">Sisi Digital</t>
  </si>
  <si>
    <t xml:space="preserve">8665427067224426213</t>
  </si>
  <si>
    <t xml:space="preserve">CaseCouture UK</t>
  </si>
  <si>
    <t xml:space="preserve">7494459006864426521</t>
  </si>
  <si>
    <t xml:space="preserve">Creative Camera Shop</t>
  </si>
  <si>
    <t xml:space="preserve">Shenzhen Weizhengte Technology Co., Ltd.</t>
  </si>
  <si>
    <t xml:space="preserve">7495159439650229121</t>
  </si>
  <si>
    <t xml:space="preserve">Boqisen Swimsuit</t>
  </si>
  <si>
    <t xml:space="preserve">Xingcheng Boqisen Apparel Co., Ltd.</t>
  </si>
  <si>
    <t xml:space="preserve">7495297535032134007</t>
  </si>
  <si>
    <t xml:space="preserve">CheerCity</t>
  </si>
  <si>
    <t xml:space="preserve">7494792390597510618</t>
  </si>
  <si>
    <t xml:space="preserve">Kk sports manchester</t>
  </si>
  <si>
    <t xml:space="preserve">7495149385393802103</t>
  </si>
  <si>
    <t xml:space="preserve">EGO FASHION</t>
  </si>
  <si>
    <t xml:space="preserve">Virtual Superwoman Limited</t>
  </si>
  <si>
    <t xml:space="preserve">7495694615892363469</t>
  </si>
  <si>
    <t xml:space="preserve">boohoo</t>
  </si>
  <si>
    <t xml:space="preserve">boohoo.com UK Limited</t>
  </si>
  <si>
    <t xml:space="preserve">7494234543579236697</t>
  </si>
  <si>
    <t xml:space="preserve">Puresport</t>
  </si>
  <si>
    <t xml:space="preserve">PURE SPORT OIL LIMITED</t>
  </si>
  <si>
    <t xml:space="preserve">puresport</t>
  </si>
  <si>
    <t xml:space="preserve">https://www.tiktok.com/@puresport</t>
  </si>
  <si>
    <t xml:space="preserve">2023-10-08</t>
  </si>
  <si>
    <t xml:space="preserve">7495198804733561750</t>
  </si>
  <si>
    <t xml:space="preserve">Agilithor treadmill</t>
  </si>
  <si>
    <t xml:space="preserve">agilithor</t>
  </si>
  <si>
    <t xml:space="preserve">https://www.tiktok.com/@agilithor</t>
  </si>
  <si>
    <t xml:space="preserve">2024-08-22</t>
  </si>
  <si>
    <t xml:space="preserve">7495866447872100366</t>
  </si>
  <si>
    <t xml:space="preserve">FLYBIRD Sports.UK</t>
  </si>
  <si>
    <t xml:space="preserve">Yiwu Juhe Trading Co., Ltd</t>
  </si>
  <si>
    <t xml:space="preserve">8647433486191139282</t>
  </si>
  <si>
    <t xml:space="preserve">Value comfort home</t>
  </si>
  <si>
    <t xml:space="preserve">A H Z INVESTMENTS LTD</t>
  </si>
  <si>
    <t xml:space="preserve">7496054259968739713</t>
  </si>
  <si>
    <t xml:space="preserve">Dreamy Beddings</t>
  </si>
  <si>
    <t xml:space="preserve">8662299539872515532</t>
  </si>
  <si>
    <t xml:space="preserve">Jeffanss</t>
  </si>
  <si>
    <t xml:space="preserve">7494742485067073140</t>
  </si>
  <si>
    <t xml:space="preserve">Gentle Night</t>
  </si>
  <si>
    <t xml:space="preserve">8662838473639756912</t>
  </si>
  <si>
    <t xml:space="preserve">SoftLift</t>
  </si>
  <si>
    <t xml:space="preserve">SOFTLIFT LTD</t>
  </si>
  <si>
    <t xml:space="preserve">7496239163221838458</t>
  </si>
  <si>
    <t xml:space="preserve">Lazzaro Bedding</t>
  </si>
  <si>
    <t xml:space="preserve">BESTOUCH COMMERCE LIMITED</t>
  </si>
  <si>
    <t xml:space="preserve">grace_bedding</t>
  </si>
  <si>
    <t xml:space="preserve">https://www.tiktok.com/@grace_bedding</t>
  </si>
  <si>
    <t xml:space="preserve">2025-03-07</t>
  </si>
  <si>
    <t xml:space="preserve">7495942914294909295</t>
  </si>
  <si>
    <t xml:space="preserve">nztextile</t>
  </si>
  <si>
    <t xml:space="preserve">7496089337905121910</t>
  </si>
  <si>
    <t xml:space="preserve">Hafaa</t>
  </si>
  <si>
    <t xml:space="preserve">HAVE LTD</t>
  </si>
  <si>
    <t xml:space="preserve">hafaauk</t>
  </si>
  <si>
    <t xml:space="preserve">https://www.tiktok.com/@hafaauk</t>
  </si>
  <si>
    <t xml:space="preserve">2024-11-04</t>
  </si>
  <si>
    <t xml:space="preserve">7495840208321415669</t>
  </si>
  <si>
    <t xml:space="preserve">Comfora</t>
  </si>
  <si>
    <t xml:space="preserve">7496110910852401832</t>
  </si>
  <si>
    <t xml:space="preserve">PlushyPure</t>
  </si>
  <si>
    <t xml:space="preserve">7494459648998802987</t>
  </si>
  <si>
    <t xml:space="preserve">Tools &amp; Hardware</t>
  </si>
  <si>
    <t xml:space="preserve">VelocityProGear</t>
  </si>
  <si>
    <t xml:space="preserve">VELOCITY WORKWEAR LTD</t>
  </si>
  <si>
    <t xml:space="preserve">7495468360869906989</t>
  </si>
  <si>
    <t xml:space="preserve">Sopami Care</t>
  </si>
  <si>
    <t xml:space="preserve">2026-07-16</t>
  </si>
  <si>
    <t xml:space="preserve">7494742499224356179</t>
  </si>
  <si>
    <t xml:space="preserve">Vonhaus</t>
  </si>
  <si>
    <t xml:space="preserve">HOME BRANDS LIMITED</t>
  </si>
  <si>
    <t xml:space="preserve">Also £63.1K in Household Appliances ranking → well above band</t>
  </si>
  <si>
    <t xml:space="preserve">7494567052463147208</t>
  </si>
  <si>
    <t xml:space="preserve">ONEVAN Store</t>
  </si>
  <si>
    <t xml:space="preserve">7496305758593321822</t>
  </si>
  <si>
    <t xml:space="preserve">Utopia Kingdom</t>
  </si>
  <si>
    <t xml:space="preserve">CORNERKEEPER LTD</t>
  </si>
  <si>
    <t xml:space="preserve">7496150776700766284</t>
  </si>
  <si>
    <t xml:space="preserve">Auto Workshop</t>
  </si>
  <si>
    <t xml:space="preserve">7494255254937830723</t>
  </si>
  <si>
    <t xml:space="preserve">ATuMan Tool</t>
  </si>
  <si>
    <t xml:space="preserve">7494113458679482344</t>
  </si>
  <si>
    <t xml:space="preserve">MV Tools</t>
  </si>
  <si>
    <t xml:space="preserve">MANN VALUE LTD</t>
  </si>
  <si>
    <t xml:space="preserve">mvalue_tools</t>
  </si>
  <si>
    <t xml:space="preserve">https://www.tiktok.com/@mvalue_tools</t>
  </si>
  <si>
    <t xml:space="preserve">2025-03-26</t>
  </si>
  <si>
    <t xml:space="preserve">7496123377579232168</t>
  </si>
  <si>
    <t xml:space="preserve">Dreibach</t>
  </si>
  <si>
    <t xml:space="preserve">DREIBACH LTD</t>
  </si>
  <si>
    <t xml:space="preserve">Also £10.7K in Household Appliances ranking → combined ≈ £31.8K</t>
  </si>
  <si>
    <t xml:space="preserve">7494909659372751142</t>
  </si>
  <si>
    <t xml:space="preserve">Toys &amp; Hobbies</t>
  </si>
  <si>
    <t xml:space="preserve">Denny Shop UK</t>
  </si>
  <si>
    <t xml:space="preserve">Denny Enterprises Int'l Ltd</t>
  </si>
  <si>
    <t xml:space="preserve">Also £28.1K in Tools &amp; Hardware ranking → combined ≈ £57.4K</t>
  </si>
  <si>
    <t xml:space="preserve">7494637938115578408</t>
  </si>
  <si>
    <t xml:space="preserve">chic sen</t>
  </si>
  <si>
    <t xml:space="preserve">Guangzhou Sheng'en Electronic Commerce Co., Ltd.</t>
  </si>
  <si>
    <t xml:space="preserve">7496012353877740263</t>
  </si>
  <si>
    <t xml:space="preserve">Yibaobao Toys</t>
  </si>
  <si>
    <t xml:space="preserve">Shantou Yiyuan Toys Co., Ltd.</t>
  </si>
  <si>
    <t xml:space="preserve">7495548895775525000</t>
  </si>
  <si>
    <t xml:space="preserve">The Fantastic Factory</t>
  </si>
  <si>
    <t xml:space="preserve">The Fantastic Factory LTD</t>
  </si>
  <si>
    <t xml:space="preserve">fantasticfactoryshop</t>
  </si>
  <si>
    <t xml:space="preserve">https://www.tiktok.com/@fantasticfactoryshop</t>
  </si>
  <si>
    <t xml:space="preserve">2024-09-23</t>
  </si>
  <si>
    <t xml:space="preserve">7495881664347671260</t>
  </si>
  <si>
    <t xml:space="preserve">Funky Fidgets Shop LTD</t>
  </si>
  <si>
    <t xml:space="preserve">Funky fidgets shop LTD</t>
  </si>
  <si>
    <t xml:space="preserve">funkyfidgetsshop</t>
  </si>
  <si>
    <t xml:space="preserve">https://www.tiktok.com/@funkyfidgetsshop</t>
  </si>
  <si>
    <t xml:space="preserve">2022-12-20</t>
  </si>
  <si>
    <t xml:space="preserve">7494730332085848630</t>
  </si>
  <si>
    <t xml:space="preserve">Mist House Fashion</t>
  </si>
  <si>
    <t xml:space="preserve">Mist House ltd</t>
  </si>
  <si>
    <t xml:space="preserve">misthousefashion</t>
  </si>
  <si>
    <t xml:space="preserve">https://www.tiktok.com/@misthousefashion</t>
  </si>
  <si>
    <t xml:space="preserve">2024-10-21</t>
  </si>
  <si>
    <t xml:space="preserve">7495565965938428785</t>
  </si>
  <si>
    <t xml:space="preserve">Chic Code NVFelix</t>
  </si>
  <si>
    <t xml:space="preserve">8666858531393340648</t>
  </si>
  <si>
    <t xml:space="preserve">AloiiaOnline</t>
  </si>
  <si>
    <t xml:space="preserve">Guangzhou Shangxin Keqi Clothing Trading Firm (Sole Proprietorship)</t>
  </si>
  <si>
    <t xml:space="preserve">7495878679951214774</t>
  </si>
  <si>
    <t xml:space="preserve">URBANECHIC Sweater</t>
  </si>
  <si>
    <t xml:space="preserve">Shantou Jiahua Trading Co., Ltd.</t>
  </si>
  <si>
    <t xml:space="preserve">7495782621167258447</t>
  </si>
  <si>
    <t xml:space="preserve">Retro Pinnacle</t>
  </si>
  <si>
    <t xml:space="preserve">7494669128119977090</t>
  </si>
  <si>
    <t xml:space="preserve">CAFFARIA PJ</t>
  </si>
  <si>
    <t xml:space="preserve">8652202885246977248</t>
  </si>
  <si>
    <t xml:space="preserve">Ele anor</t>
  </si>
  <si>
    <t xml:space="preserve">2026-08-21</t>
  </si>
  <si>
    <t xml:space="preserve">8652206151457015297</t>
  </si>
  <si>
    <t xml:space="preserve">XZPUZ WOMEN CLOTHING ONLINE BO</t>
  </si>
  <si>
    <t xml:space="preserve">Wenzhou Ya Clothing Clothing Co., Ltd.</t>
  </si>
  <si>
    <t xml:space="preserve">7495159620609411463</t>
  </si>
  <si>
    <t xml:space="preserve">Category</t>
  </si>
  <si>
    <t xml:space="preserve">Leads found</t>
  </si>
  <si>
    <t xml:space="preserve">High confidence</t>
  </si>
  <si>
    <t xml:space="preserve">With TikTok profile data</t>
  </si>
  <si>
    <t xml:space="preserve">Avg Sep GMV in category (£)</t>
  </si>
  <si>
    <t xml:space="preserve">Rows searched (ranking page)</t>
  </si>
  <si>
    <t xml:space="preserve">p4</t>
  </si>
  <si>
    <t xml:space="preserve">p30 (+p50 units-sorted)</t>
  </si>
  <si>
    <t xml:space="preserve">p5</t>
  </si>
  <si>
    <t xml:space="preserve">p2</t>
  </si>
  <si>
    <t xml:space="preserve">p8</t>
  </si>
  <si>
    <t xml:space="preserve">p10</t>
  </si>
  <si>
    <t xml:space="preserve">p12</t>
  </si>
  <si>
    <t xml:space="preserve">p6</t>
  </si>
  <si>
    <t xml:space="preserve">p15 (+p50 units-sorted)</t>
  </si>
  <si>
    <t xml:space="preserve">p3</t>
  </si>
  <si>
    <t xml:space="preserve">p15</t>
  </si>
  <si>
    <t xml:space="preserve">p7</t>
  </si>
  <si>
    <t xml:space="preserve">p50 units-sorted (p25 was above band)</t>
  </si>
  <si>
    <t xml:space="preserve">Total</t>
  </si>
  <si>
    <t xml:space="preserve">Checked one page – still above £30K; band is deeper (not reached on trial credits)</t>
  </si>
  <si>
    <t xml:space="preserve">Luggage &amp; Bags</t>
  </si>
  <si>
    <t xml:space="preserve">Furniture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</si>
</sst>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"/>
    <numFmt numFmtId="166" formatCode="#,##0"/>
    <numFmt numFmtId="167" formatCode="0.0%"/>
    <numFmt numFmtId="168" formatCode="\£0.00"/>
    <numFmt numFmtId="169" formatCode="\£#,##0.00"/>
    <numFmt numFmtId="170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KLeads" displayName="UKLeads" ref="A1:AI203" headerRowCount="1" totalsRowCount="0" totalsRowShown="0">
  <autoFilter ref="A1:AI203"/>
  <tableColumns count="35">
    <tableColumn id="1" name="Category (ranked in)"/>
    <tableColumn id="2" name="Shop name"/>
    <tableColumn id="3" name="Company / legal name"/>
    <tableColumn id="4" name="Main category"/>
    <tableColumn id="5" name="Shop type"/>
    <tableColumn id="6" name="Sep-26 GMV in category (£)"/>
    <tableColumn id="7" name="Units sold"/>
    <tableColumn id="8" name="GMV MoM growth"/>
    <tableColumn id="9" name="Units MoM growth"/>
    <tableColumn id="10" name="Affiliate creators (Sep)"/>
    <tableColumn id="11" name="Products with sales"/>
    <tableColumn id="12" name="Active products"/>
    <tableColumn id="13" name="Shop rating"/>
    <tableColumn id="14" name="Band confidence"/>
    <tableColumn id="15" name="Notes"/>
    <tableColumn id="16" name="TikTok handle"/>
    <tableColumn id="17" name="TikTok profile URL"/>
    <tableColumn id="18" name="TikTok followers"/>
    <tableColumn id="19" name="TikTok videos"/>
    <tableColumn id="20" name="Shop created"/>
    <tableColumn id="21" name="All-time GMV (£)"/>
    <tableColumn id="22" name="All-time units"/>
    <tableColumn id="23" name="Total products listed"/>
    <tableColumn id="24" name="All-time affiliate creators"/>
    <tableColumn id="25" name="All-time videos"/>
    <tableColumn id="26" name="All-time lives"/>
    <tableColumn id="27" name="Min price (£)"/>
    <tableColumn id="28" name="Max price (£)"/>
    <tableColumn id="29" name="Avg price (£)"/>
    <tableColumn id="30" name="Delivery rate"/>
    <tableColumn id="31" name="Positive feedback"/>
    <tableColumn id="32" name="Response rate"/>
    <tableColumn id="33" name="Category rank (Sep)"/>
    <tableColumn id="34" name="UK overall rank (Sep)"/>
    <tableColumn id="35" name="Seller 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iktok.com/@zmgh49shop" TargetMode="External"/><Relationship Id="rId2" Type="http://schemas.openxmlformats.org/officeDocument/2006/relationships/hyperlink" Target="https://www.tiktok.com/@sisuocor" TargetMode="External"/><Relationship Id="rId3" Type="http://schemas.openxmlformats.org/officeDocument/2006/relationships/hyperlink" Target="https://www.tiktok.com/@booboobabyproducts.com" TargetMode="External"/><Relationship Id="rId4" Type="http://schemas.openxmlformats.org/officeDocument/2006/relationships/hyperlink" Target="https://www.tiktok.com/@ladidatoystore" TargetMode="External"/><Relationship Id="rId5" Type="http://schemas.openxmlformats.org/officeDocument/2006/relationships/hyperlink" Target="https://www.tiktok.com/@my_expertmidwife" TargetMode="External"/><Relationship Id="rId6" Type="http://schemas.openxmlformats.org/officeDocument/2006/relationships/hyperlink" Target="https://www.tiktok.com/@sculptedbyaimeestore" TargetMode="External"/><Relationship Id="rId7" Type="http://schemas.openxmlformats.org/officeDocument/2006/relationships/hyperlink" Target="https://www.tiktok.com/@poppys332" TargetMode="External"/><Relationship Id="rId8" Type="http://schemas.openxmlformats.org/officeDocument/2006/relationships/hyperlink" Target="https://www.tiktok.com/@houseofamoruk" TargetMode="External"/><Relationship Id="rId9" Type="http://schemas.openxmlformats.org/officeDocument/2006/relationships/hyperlink" Target="https://www.tiktok.com/@acehitstcg" TargetMode="External"/><Relationship Id="rId10" Type="http://schemas.openxmlformats.org/officeDocument/2006/relationships/hyperlink" Target="https://www.tiktok.com/@wiggyscollectables" TargetMode="External"/><Relationship Id="rId11" Type="http://schemas.openxmlformats.org/officeDocument/2006/relationships/hyperlink" Target="https://www.tiktok.com/@rosexpress_delivery_serv" TargetMode="External"/><Relationship Id="rId12" Type="http://schemas.openxmlformats.org/officeDocument/2006/relationships/hyperlink" Target="https://www.tiktok.com/@bozlun_official" TargetMode="External"/><Relationship Id="rId13" Type="http://schemas.openxmlformats.org/officeDocument/2006/relationships/hyperlink" Target="https://www.tiktok.com/@blinghairfactorystore_" TargetMode="External"/><Relationship Id="rId14" Type="http://schemas.openxmlformats.org/officeDocument/2006/relationships/hyperlink" Target="https://www.tiktok.com/@taste_flavorco_uk" TargetMode="External"/><Relationship Id="rId15" Type="http://schemas.openxmlformats.org/officeDocument/2006/relationships/hyperlink" Target="https://www.tiktok.com/@pakwatandriedfruits" TargetMode="External"/><Relationship Id="rId16" Type="http://schemas.openxmlformats.org/officeDocument/2006/relationships/hyperlink" Target="https://www.tiktok.com/@bakhtar.market" TargetMode="External"/><Relationship Id="rId17" Type="http://schemas.openxmlformats.org/officeDocument/2006/relationships/hyperlink" Target="https://www.tiktok.com/@mellowpatchesuk" TargetMode="External"/><Relationship Id="rId18" Type="http://schemas.openxmlformats.org/officeDocument/2006/relationships/hyperlink" Target="https://www.tiktok.com/@roundway.supplements" TargetMode="External"/><Relationship Id="rId19" Type="http://schemas.openxmlformats.org/officeDocument/2006/relationships/hyperlink" Target="https://www.tiktok.com/@rhealsuperfoods" TargetMode="External"/><Relationship Id="rId20" Type="http://schemas.openxmlformats.org/officeDocument/2006/relationships/hyperlink" Target="https://www.tiktok.com/@kokomauk5" TargetMode="External"/><Relationship Id="rId21" Type="http://schemas.openxmlformats.org/officeDocument/2006/relationships/hyperlink" Target="https://www.tiktok.com/@jghjgmxq" TargetMode="External"/><Relationship Id="rId22" Type="http://schemas.openxmlformats.org/officeDocument/2006/relationships/hyperlink" Target="https://www.tiktok.com/@thclickmart" TargetMode="External"/><Relationship Id="rId23" Type="http://schemas.openxmlformats.org/officeDocument/2006/relationships/hyperlink" Target="https://www.tiktok.com/@dockandbay" TargetMode="External"/><Relationship Id="rId24" Type="http://schemas.openxmlformats.org/officeDocument/2006/relationships/hyperlink" Target="https://www.tiktok.com/@violetpap12" TargetMode="External"/><Relationship Id="rId25" Type="http://schemas.openxmlformats.org/officeDocument/2006/relationships/hyperlink" Target="https://www.tiktok.com/@thegifthouseuk" TargetMode="External"/><Relationship Id="rId26" Type="http://schemas.openxmlformats.org/officeDocument/2006/relationships/hyperlink" Target="https://www.tiktok.com/@iwealmt05" TargetMode="External"/><Relationship Id="rId27" Type="http://schemas.openxmlformats.org/officeDocument/2006/relationships/hyperlink" Target="https://www.tiktok.com/@8.eight84" TargetMode="External"/><Relationship Id="rId28" Type="http://schemas.openxmlformats.org/officeDocument/2006/relationships/hyperlink" Target="https://www.tiktok.com/@morphcostumes" TargetMode="External"/><Relationship Id="rId29" Type="http://schemas.openxmlformats.org/officeDocument/2006/relationships/hyperlink" Target="https://www.tiktok.com/@label.cutters" TargetMode="External"/><Relationship Id="rId30" Type="http://schemas.openxmlformats.org/officeDocument/2006/relationships/hyperlink" Target="https://www.tiktok.com/@bt.international1" TargetMode="External"/><Relationship Id="rId31" Type="http://schemas.openxmlformats.org/officeDocument/2006/relationships/hyperlink" Target="https://www.tiktok.com/@homelivestore" TargetMode="External"/><Relationship Id="rId32" Type="http://schemas.openxmlformats.org/officeDocument/2006/relationships/hyperlink" Target="https://www.tiktok.com/@silverbirchclothing" TargetMode="External"/><Relationship Id="rId33" Type="http://schemas.openxmlformats.org/officeDocument/2006/relationships/hyperlink" Target="https://www.tiktok.com/@macropick85" TargetMode="External"/><Relationship Id="rId34" Type="http://schemas.openxmlformats.org/officeDocument/2006/relationships/hyperlink" Target="https://www.tiktok.com/@bluestonesmodestfashion1" TargetMode="External"/><Relationship Id="rId35" Type="http://schemas.openxmlformats.org/officeDocument/2006/relationships/hyperlink" Target="https://www.tiktok.com/@manorfarmdogtreats" TargetMode="External"/><Relationship Id="rId36" Type="http://schemas.openxmlformats.org/officeDocument/2006/relationships/hyperlink" Target="https://www.tiktok.com/@thedeliciousdogfoodco" TargetMode="External"/><Relationship Id="rId37" Type="http://schemas.openxmlformats.org/officeDocument/2006/relationships/hyperlink" Target="https://www.tiktok.com/@puresport" TargetMode="External"/><Relationship Id="rId38" Type="http://schemas.openxmlformats.org/officeDocument/2006/relationships/hyperlink" Target="https://www.tiktok.com/@agilithor" TargetMode="External"/><Relationship Id="rId39" Type="http://schemas.openxmlformats.org/officeDocument/2006/relationships/hyperlink" Target="https://www.tiktok.com/@grace_bedding" TargetMode="External"/><Relationship Id="rId40" Type="http://schemas.openxmlformats.org/officeDocument/2006/relationships/hyperlink" Target="https://www.tiktok.com/@hafaauk" TargetMode="External"/><Relationship Id="rId41" Type="http://schemas.openxmlformats.org/officeDocument/2006/relationships/hyperlink" Target="https://www.tiktok.com/@mvalue_tools" TargetMode="External"/><Relationship Id="rId42" Type="http://schemas.openxmlformats.org/officeDocument/2006/relationships/hyperlink" Target="https://www.tiktok.com/@fantasticfactoryshop" TargetMode="External"/><Relationship Id="rId43" Type="http://schemas.openxmlformats.org/officeDocument/2006/relationships/hyperlink" Target="https://www.tiktok.com/@funkyfidgetsshop" TargetMode="External"/><Relationship Id="rId44" Type="http://schemas.openxmlformats.org/officeDocument/2006/relationships/hyperlink" Target="https://www.tiktok.com/@misthousefashion" TargetMode="External"/><Relationship Id="rId4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23.8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13" min="6" style="0" width="13"/>
    <col collapsed="false" customWidth="true" hidden="false" outlineLevel="0" max="14" min="14" style="0" width="30"/>
    <col collapsed="false" customWidth="true" hidden="false" outlineLevel="0" max="15" min="15" style="0" width="46"/>
    <col collapsed="false" customWidth="true" hidden="false" outlineLevel="0" max="16" min="16" style="0" width="22"/>
    <col collapsed="false" customWidth="true" hidden="false" outlineLevel="0" max="17" min="17" style="0" width="36"/>
    <col collapsed="false" customWidth="true" hidden="false" outlineLevel="0" max="34" min="18" style="0" width="13"/>
    <col collapsed="false" customWidth="true" hidden="false" outlineLevel="0" max="35" min="35" style="0" width="22"/>
  </cols>
  <sheetData>
    <row r="1" customFormat="false" ht="42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  <c r="AI1" s="4" t="s">
        <v>48</v>
      </c>
    </row>
    <row r="2" customFormat="false" ht="15" hidden="false" customHeight="false" outlineLevel="0" collapsed="false">
      <c r="A2" s="5" t="s">
        <v>49</v>
      </c>
      <c r="B2" s="5" t="s">
        <v>50</v>
      </c>
      <c r="C2" s="5" t="s">
        <v>51</v>
      </c>
      <c r="D2" s="5" t="s">
        <v>49</v>
      </c>
      <c r="E2" s="5" t="s">
        <v>52</v>
      </c>
      <c r="F2" s="6" t="n">
        <v>23492.68</v>
      </c>
      <c r="G2" s="7" t="n">
        <v>1552</v>
      </c>
      <c r="H2" s="8" t="n">
        <v>-0.0427</v>
      </c>
      <c r="I2" s="8" t="n">
        <v>-0.2821</v>
      </c>
      <c r="J2" s="7" t="n">
        <v>241</v>
      </c>
      <c r="K2" s="5" t="n">
        <v>37</v>
      </c>
      <c r="L2" s="5" t="n">
        <v>63</v>
      </c>
      <c r="M2" s="5" t="n">
        <v>4.2</v>
      </c>
      <c r="N2" s="9" t="s">
        <v>53</v>
      </c>
      <c r="O2" s="5"/>
      <c r="P2" s="5"/>
      <c r="Q2" s="5"/>
      <c r="R2" s="7"/>
      <c r="S2" s="7"/>
      <c r="T2" s="5"/>
      <c r="U2" s="6"/>
      <c r="V2" s="7"/>
      <c r="W2" s="5"/>
      <c r="X2" s="7"/>
      <c r="Y2" s="7"/>
      <c r="Z2" s="7"/>
      <c r="AA2" s="10"/>
      <c r="AB2" s="11"/>
      <c r="AC2" s="10"/>
      <c r="AD2" s="12"/>
      <c r="AE2" s="12"/>
      <c r="AF2" s="12"/>
      <c r="AG2" s="7"/>
      <c r="AH2" s="7"/>
      <c r="AI2" s="5" t="s">
        <v>54</v>
      </c>
    </row>
    <row r="3" customFormat="false" ht="15" hidden="false" customHeight="false" outlineLevel="0" collapsed="false">
      <c r="A3" s="5" t="s">
        <v>49</v>
      </c>
      <c r="B3" s="5" t="s">
        <v>55</v>
      </c>
      <c r="C3" s="5"/>
      <c r="D3" s="5" t="s">
        <v>49</v>
      </c>
      <c r="E3" s="5" t="s">
        <v>52</v>
      </c>
      <c r="F3" s="6" t="n">
        <v>21804.76</v>
      </c>
      <c r="G3" s="7" t="n">
        <v>341</v>
      </c>
      <c r="H3" s="8" t="n">
        <v>0.472</v>
      </c>
      <c r="I3" s="8" t="n">
        <v>0.2222</v>
      </c>
      <c r="J3" s="7" t="n">
        <v>52</v>
      </c>
      <c r="K3" s="5" t="n">
        <v>9</v>
      </c>
      <c r="L3" s="5" t="n">
        <v>24</v>
      </c>
      <c r="M3" s="5" t="n">
        <v>3.5</v>
      </c>
      <c r="N3" s="9" t="s">
        <v>53</v>
      </c>
      <c r="O3" s="5"/>
      <c r="P3" s="5"/>
      <c r="Q3" s="5"/>
      <c r="R3" s="7"/>
      <c r="S3" s="7"/>
      <c r="T3" s="5"/>
      <c r="U3" s="6"/>
      <c r="V3" s="7"/>
      <c r="W3" s="5"/>
      <c r="X3" s="7"/>
      <c r="Y3" s="7"/>
      <c r="Z3" s="7"/>
      <c r="AA3" s="10"/>
      <c r="AB3" s="11"/>
      <c r="AC3" s="10"/>
      <c r="AD3" s="12"/>
      <c r="AE3" s="12"/>
      <c r="AF3" s="12"/>
      <c r="AG3" s="7"/>
      <c r="AH3" s="7"/>
      <c r="AI3" s="5" t="s">
        <v>56</v>
      </c>
    </row>
    <row r="4" customFormat="false" ht="15" hidden="false" customHeight="false" outlineLevel="0" collapsed="false">
      <c r="A4" s="5" t="s">
        <v>49</v>
      </c>
      <c r="B4" s="5" t="s">
        <v>57</v>
      </c>
      <c r="C4" s="5"/>
      <c r="D4" s="5" t="s">
        <v>58</v>
      </c>
      <c r="E4" s="5" t="s">
        <v>59</v>
      </c>
      <c r="F4" s="6" t="n">
        <v>19758.12</v>
      </c>
      <c r="G4" s="7" t="n">
        <v>1268</v>
      </c>
      <c r="H4" s="8" t="n">
        <v>1.2384</v>
      </c>
      <c r="I4" s="8" t="n">
        <v>0.7759</v>
      </c>
      <c r="J4" s="7" t="n">
        <v>34</v>
      </c>
      <c r="K4" s="5" t="n">
        <v>1</v>
      </c>
      <c r="L4" s="5" t="n">
        <v>16</v>
      </c>
      <c r="M4" s="5" t="n">
        <v>4.4</v>
      </c>
      <c r="N4" s="13" t="s">
        <v>60</v>
      </c>
      <c r="O4" s="5"/>
      <c r="P4" s="5"/>
      <c r="Q4" s="5"/>
      <c r="R4" s="7"/>
      <c r="S4" s="7"/>
      <c r="T4" s="5"/>
      <c r="U4" s="6"/>
      <c r="V4" s="7"/>
      <c r="W4" s="5"/>
      <c r="X4" s="7"/>
      <c r="Y4" s="7"/>
      <c r="Z4" s="7"/>
      <c r="AA4" s="10"/>
      <c r="AB4" s="11"/>
      <c r="AC4" s="10"/>
      <c r="AD4" s="12"/>
      <c r="AE4" s="12"/>
      <c r="AF4" s="12"/>
      <c r="AG4" s="7"/>
      <c r="AH4" s="7"/>
      <c r="AI4" s="5" t="s">
        <v>61</v>
      </c>
    </row>
    <row r="5" customFormat="false" ht="15" hidden="false" customHeight="false" outlineLevel="0" collapsed="false">
      <c r="A5" s="5" t="s">
        <v>49</v>
      </c>
      <c r="B5" s="5" t="s">
        <v>62</v>
      </c>
      <c r="C5" s="5" t="s">
        <v>63</v>
      </c>
      <c r="D5" s="5" t="s">
        <v>58</v>
      </c>
      <c r="E5" s="5" t="s">
        <v>59</v>
      </c>
      <c r="F5" s="6" t="n">
        <v>19459.44</v>
      </c>
      <c r="G5" s="7" t="n">
        <v>897</v>
      </c>
      <c r="H5" s="8" t="n">
        <v>0.2425</v>
      </c>
      <c r="I5" s="8" t="n">
        <v>-0.2731</v>
      </c>
      <c r="J5" s="7" t="n">
        <v>14</v>
      </c>
      <c r="K5" s="5" t="n">
        <v>8</v>
      </c>
      <c r="L5" s="5" t="n">
        <v>42</v>
      </c>
      <c r="M5" s="5" t="n">
        <v>3.7</v>
      </c>
      <c r="N5" s="13" t="s">
        <v>60</v>
      </c>
      <c r="O5" s="5"/>
      <c r="P5" s="5"/>
      <c r="Q5" s="5"/>
      <c r="R5" s="7"/>
      <c r="S5" s="7"/>
      <c r="T5" s="5"/>
      <c r="U5" s="6"/>
      <c r="V5" s="7"/>
      <c r="W5" s="5"/>
      <c r="X5" s="7"/>
      <c r="Y5" s="7"/>
      <c r="Z5" s="7"/>
      <c r="AA5" s="10"/>
      <c r="AB5" s="11"/>
      <c r="AC5" s="10"/>
      <c r="AD5" s="12"/>
      <c r="AE5" s="12"/>
      <c r="AF5" s="12"/>
      <c r="AG5" s="7"/>
      <c r="AH5" s="7"/>
      <c r="AI5" s="5" t="s">
        <v>64</v>
      </c>
    </row>
    <row r="6" customFormat="false" ht="15" hidden="false" customHeight="false" outlineLevel="0" collapsed="false">
      <c r="A6" s="5" t="s">
        <v>49</v>
      </c>
      <c r="B6" s="5" t="s">
        <v>65</v>
      </c>
      <c r="C6" s="5"/>
      <c r="D6" s="5" t="s">
        <v>49</v>
      </c>
      <c r="E6" s="5" t="s">
        <v>59</v>
      </c>
      <c r="F6" s="6" t="n">
        <v>18796.42</v>
      </c>
      <c r="G6" s="7" t="n">
        <v>1054</v>
      </c>
      <c r="H6" s="8" t="n">
        <v>-0.702</v>
      </c>
      <c r="I6" s="8" t="n">
        <v>-0.7104</v>
      </c>
      <c r="J6" s="7" t="n">
        <v>57</v>
      </c>
      <c r="K6" s="5" t="n">
        <v>11</v>
      </c>
      <c r="L6" s="5" t="n">
        <v>121</v>
      </c>
      <c r="M6" s="5" t="n">
        <v>3.4</v>
      </c>
      <c r="N6" s="9" t="s">
        <v>53</v>
      </c>
      <c r="O6" s="5"/>
      <c r="P6" s="5" t="s">
        <v>66</v>
      </c>
      <c r="Q6" s="14" t="s">
        <v>67</v>
      </c>
      <c r="R6" s="7" t="n">
        <v>1965</v>
      </c>
      <c r="S6" s="7" t="n">
        <v>295</v>
      </c>
      <c r="T6" s="5" t="s">
        <v>68</v>
      </c>
      <c r="U6" s="6" t="n">
        <v>1361989.48</v>
      </c>
      <c r="V6" s="7" t="n">
        <v>104192</v>
      </c>
      <c r="W6" s="5" t="n">
        <v>240</v>
      </c>
      <c r="X6" s="7" t="n">
        <v>1703</v>
      </c>
      <c r="Y6" s="7" t="n">
        <v>4716</v>
      </c>
      <c r="Z6" s="7" t="n">
        <v>846</v>
      </c>
      <c r="AA6" s="10" t="n">
        <v>1.14</v>
      </c>
      <c r="AB6" s="11" t="n">
        <v>50</v>
      </c>
      <c r="AC6" s="10" t="n">
        <v>8.88</v>
      </c>
      <c r="AD6" s="12" t="n">
        <v>0.81</v>
      </c>
      <c r="AE6" s="12" t="n">
        <v>0.74</v>
      </c>
      <c r="AF6" s="12" t="n">
        <v>1</v>
      </c>
      <c r="AG6" s="7" t="n">
        <v>20</v>
      </c>
      <c r="AH6" s="7" t="n">
        <v>1321</v>
      </c>
      <c r="AI6" s="5" t="s">
        <v>69</v>
      </c>
    </row>
    <row r="7" customFormat="false" ht="15" hidden="false" customHeight="false" outlineLevel="0" collapsed="false">
      <c r="A7" s="5" t="s">
        <v>49</v>
      </c>
      <c r="B7" s="5" t="s">
        <v>70</v>
      </c>
      <c r="C7" s="5" t="s">
        <v>71</v>
      </c>
      <c r="D7" s="5" t="s">
        <v>49</v>
      </c>
      <c r="E7" s="5" t="s">
        <v>52</v>
      </c>
      <c r="F7" s="6" t="n">
        <v>18648.68</v>
      </c>
      <c r="G7" s="7" t="n">
        <v>1586</v>
      </c>
      <c r="H7" s="8" t="n">
        <v>-0.4186</v>
      </c>
      <c r="I7" s="8" t="n">
        <v>-0.4338</v>
      </c>
      <c r="J7" s="7" t="n">
        <v>151</v>
      </c>
      <c r="K7" s="5" t="n">
        <v>38</v>
      </c>
      <c r="L7" s="5" t="n">
        <v>110</v>
      </c>
      <c r="M7" s="5" t="n">
        <v>2.7</v>
      </c>
      <c r="N7" s="9" t="s">
        <v>53</v>
      </c>
      <c r="O7" s="5"/>
      <c r="P7" s="5"/>
      <c r="Q7" s="5"/>
      <c r="R7" s="7"/>
      <c r="S7" s="7"/>
      <c r="T7" s="5"/>
      <c r="U7" s="6"/>
      <c r="V7" s="7"/>
      <c r="W7" s="5"/>
      <c r="X7" s="7"/>
      <c r="Y7" s="7"/>
      <c r="Z7" s="7"/>
      <c r="AA7" s="10"/>
      <c r="AB7" s="11"/>
      <c r="AC7" s="10"/>
      <c r="AD7" s="12"/>
      <c r="AE7" s="12"/>
      <c r="AF7" s="12"/>
      <c r="AG7" s="7"/>
      <c r="AH7" s="7"/>
      <c r="AI7" s="5" t="s">
        <v>72</v>
      </c>
    </row>
    <row r="8" customFormat="false" ht="15" hidden="false" customHeight="false" outlineLevel="0" collapsed="false">
      <c r="A8" s="5" t="s">
        <v>49</v>
      </c>
      <c r="B8" s="5" t="s">
        <v>73</v>
      </c>
      <c r="C8" s="5" t="s">
        <v>73</v>
      </c>
      <c r="D8" s="5" t="s">
        <v>49</v>
      </c>
      <c r="E8" s="5" t="s">
        <v>59</v>
      </c>
      <c r="F8" s="6" t="n">
        <v>17727.45</v>
      </c>
      <c r="G8" s="7" t="n">
        <v>1384</v>
      </c>
      <c r="H8" s="8" t="n">
        <v>-0.4278</v>
      </c>
      <c r="I8" s="8" t="n">
        <v>-0.4466</v>
      </c>
      <c r="J8" s="7" t="n">
        <v>286</v>
      </c>
      <c r="K8" s="5" t="n">
        <v>1</v>
      </c>
      <c r="L8" s="5" t="n">
        <v>14</v>
      </c>
      <c r="M8" s="5" t="n">
        <v>4.7</v>
      </c>
      <c r="N8" s="9" t="s">
        <v>53</v>
      </c>
      <c r="O8" s="5"/>
      <c r="P8" s="5" t="s">
        <v>74</v>
      </c>
      <c r="Q8" s="14" t="s">
        <v>75</v>
      </c>
      <c r="R8" s="7" t="n">
        <v>2324</v>
      </c>
      <c r="S8" s="7" t="n">
        <v>232</v>
      </c>
      <c r="T8" s="5" t="s">
        <v>76</v>
      </c>
      <c r="U8" s="6" t="n">
        <v>480990.87</v>
      </c>
      <c r="V8" s="7" t="n">
        <v>51236</v>
      </c>
      <c r="W8" s="5" t="n">
        <v>117</v>
      </c>
      <c r="X8" s="7" t="n">
        <v>864</v>
      </c>
      <c r="Y8" s="7" t="n">
        <v>2436</v>
      </c>
      <c r="Z8" s="7" t="n">
        <v>927</v>
      </c>
      <c r="AA8" s="10" t="n">
        <v>0.77</v>
      </c>
      <c r="AB8" s="11" t="n">
        <v>55</v>
      </c>
      <c r="AC8" s="10" t="n">
        <v>10.2</v>
      </c>
      <c r="AD8" s="12" t="n">
        <v>0.69</v>
      </c>
      <c r="AE8" s="12" t="n">
        <v>0.88</v>
      </c>
      <c r="AF8" s="12" t="n">
        <v>0.98</v>
      </c>
      <c r="AG8" s="7" t="n">
        <v>34</v>
      </c>
      <c r="AH8" s="7" t="n">
        <v>2065</v>
      </c>
      <c r="AI8" s="5" t="s">
        <v>77</v>
      </c>
    </row>
    <row r="9" customFormat="false" ht="15" hidden="false" customHeight="false" outlineLevel="0" collapsed="false">
      <c r="A9" s="5" t="s">
        <v>49</v>
      </c>
      <c r="B9" s="5" t="s">
        <v>78</v>
      </c>
      <c r="C9" s="5" t="s">
        <v>79</v>
      </c>
      <c r="D9" s="5" t="s">
        <v>58</v>
      </c>
      <c r="E9" s="5" t="s">
        <v>59</v>
      </c>
      <c r="F9" s="6" t="n">
        <v>17622.47</v>
      </c>
      <c r="G9" s="7" t="n">
        <v>610</v>
      </c>
      <c r="H9" s="8" t="n">
        <v>-0.0634</v>
      </c>
      <c r="I9" s="8" t="n">
        <v>-0.1223</v>
      </c>
      <c r="J9" s="7" t="n">
        <v>30</v>
      </c>
      <c r="K9" s="5" t="n">
        <v>1</v>
      </c>
      <c r="L9" s="5" t="n">
        <v>35</v>
      </c>
      <c r="M9" s="5" t="n">
        <v>4.6</v>
      </c>
      <c r="N9" s="13" t="s">
        <v>60</v>
      </c>
      <c r="O9" s="5"/>
      <c r="P9" s="5"/>
      <c r="Q9" s="5"/>
      <c r="R9" s="7"/>
      <c r="S9" s="7"/>
      <c r="T9" s="5"/>
      <c r="U9" s="6"/>
      <c r="V9" s="7"/>
      <c r="W9" s="5"/>
      <c r="X9" s="7"/>
      <c r="Y9" s="7"/>
      <c r="Z9" s="7"/>
      <c r="AA9" s="10"/>
      <c r="AB9" s="11"/>
      <c r="AC9" s="10"/>
      <c r="AD9" s="12"/>
      <c r="AE9" s="12"/>
      <c r="AF9" s="12"/>
      <c r="AG9" s="7"/>
      <c r="AH9" s="7"/>
      <c r="AI9" s="5" t="s">
        <v>80</v>
      </c>
    </row>
    <row r="10" customFormat="false" ht="15" hidden="false" customHeight="false" outlineLevel="0" collapsed="false">
      <c r="A10" s="5" t="s">
        <v>81</v>
      </c>
      <c r="B10" s="5" t="s">
        <v>82</v>
      </c>
      <c r="C10" s="5" t="s">
        <v>83</v>
      </c>
      <c r="D10" s="5" t="s">
        <v>81</v>
      </c>
      <c r="E10" s="5" t="s">
        <v>52</v>
      </c>
      <c r="F10" s="6" t="n">
        <v>21072.67</v>
      </c>
      <c r="G10" s="7" t="n">
        <v>2545</v>
      </c>
      <c r="H10" s="8" t="n">
        <v>0.3437</v>
      </c>
      <c r="I10" s="8" t="n">
        <v>0.2241</v>
      </c>
      <c r="J10" s="7" t="n">
        <v>420</v>
      </c>
      <c r="K10" s="5" t="n">
        <v>252</v>
      </c>
      <c r="L10" s="5" t="n">
        <v>773</v>
      </c>
      <c r="M10" s="5" t="n">
        <v>4.9</v>
      </c>
      <c r="N10" s="9" t="s">
        <v>53</v>
      </c>
      <c r="O10" s="5"/>
      <c r="P10" s="5"/>
      <c r="Q10" s="5"/>
      <c r="R10" s="7"/>
      <c r="S10" s="7"/>
      <c r="T10" s="5"/>
      <c r="U10" s="6"/>
      <c r="V10" s="7"/>
      <c r="W10" s="5"/>
      <c r="X10" s="7"/>
      <c r="Y10" s="7"/>
      <c r="Z10" s="7"/>
      <c r="AA10" s="10"/>
      <c r="AB10" s="11"/>
      <c r="AC10" s="10"/>
      <c r="AD10" s="12"/>
      <c r="AE10" s="12"/>
      <c r="AF10" s="12"/>
      <c r="AG10" s="7"/>
      <c r="AH10" s="7"/>
      <c r="AI10" s="5" t="s">
        <v>84</v>
      </c>
    </row>
    <row r="11" customFormat="false" ht="15" hidden="false" customHeight="false" outlineLevel="0" collapsed="false">
      <c r="A11" s="5" t="s">
        <v>81</v>
      </c>
      <c r="B11" s="5" t="s">
        <v>85</v>
      </c>
      <c r="C11" s="5" t="s">
        <v>86</v>
      </c>
      <c r="D11" s="5" t="s">
        <v>81</v>
      </c>
      <c r="E11" s="5" t="s">
        <v>52</v>
      </c>
      <c r="F11" s="6" t="n">
        <v>21040.77</v>
      </c>
      <c r="G11" s="7" t="n">
        <v>1299</v>
      </c>
      <c r="H11" s="8" t="n">
        <v>0.0846</v>
      </c>
      <c r="I11" s="8" t="n">
        <v>-0.0069</v>
      </c>
      <c r="J11" s="7" t="n">
        <v>54</v>
      </c>
      <c r="K11" s="5" t="n">
        <v>40</v>
      </c>
      <c r="L11" s="5" t="n">
        <v>110</v>
      </c>
      <c r="M11" s="5" t="n">
        <v>4.6</v>
      </c>
      <c r="N11" s="9" t="s">
        <v>53</v>
      </c>
      <c r="O11" s="5"/>
      <c r="P11" s="5"/>
      <c r="Q11" s="5"/>
      <c r="R11" s="7"/>
      <c r="S11" s="7"/>
      <c r="T11" s="5"/>
      <c r="U11" s="6"/>
      <c r="V11" s="7"/>
      <c r="W11" s="5"/>
      <c r="X11" s="7"/>
      <c r="Y11" s="7"/>
      <c r="Z11" s="7"/>
      <c r="AA11" s="10"/>
      <c r="AB11" s="11"/>
      <c r="AC11" s="10"/>
      <c r="AD11" s="12"/>
      <c r="AE11" s="12"/>
      <c r="AF11" s="12"/>
      <c r="AG11" s="7"/>
      <c r="AH11" s="7"/>
      <c r="AI11" s="5" t="s">
        <v>87</v>
      </c>
    </row>
    <row r="12" customFormat="false" ht="15" hidden="false" customHeight="false" outlineLevel="0" collapsed="false">
      <c r="A12" s="5" t="s">
        <v>81</v>
      </c>
      <c r="B12" s="5" t="s">
        <v>88</v>
      </c>
      <c r="C12" s="5" t="s">
        <v>89</v>
      </c>
      <c r="D12" s="5" t="s">
        <v>90</v>
      </c>
      <c r="E12" s="5" t="s">
        <v>59</v>
      </c>
      <c r="F12" s="6" t="n">
        <v>20720.29</v>
      </c>
      <c r="G12" s="7" t="n">
        <v>1512</v>
      </c>
      <c r="H12" s="8" t="n">
        <v>1.1935</v>
      </c>
      <c r="I12" s="8" t="n">
        <v>1.2203</v>
      </c>
      <c r="J12" s="7" t="n">
        <v>488</v>
      </c>
      <c r="K12" s="5" t="n">
        <v>28</v>
      </c>
      <c r="L12" s="5" t="n">
        <v>129</v>
      </c>
      <c r="M12" s="5" t="n">
        <v>4.4</v>
      </c>
      <c r="N12" s="13" t="s">
        <v>60</v>
      </c>
      <c r="O12" s="5"/>
      <c r="P12" s="5"/>
      <c r="Q12" s="5"/>
      <c r="R12" s="7"/>
      <c r="S12" s="7"/>
      <c r="T12" s="5"/>
      <c r="U12" s="6"/>
      <c r="V12" s="7"/>
      <c r="W12" s="5"/>
      <c r="X12" s="7"/>
      <c r="Y12" s="7"/>
      <c r="Z12" s="7"/>
      <c r="AA12" s="10"/>
      <c r="AB12" s="11"/>
      <c r="AC12" s="10"/>
      <c r="AD12" s="12"/>
      <c r="AE12" s="12"/>
      <c r="AF12" s="12"/>
      <c r="AG12" s="7"/>
      <c r="AH12" s="7"/>
      <c r="AI12" s="5" t="s">
        <v>91</v>
      </c>
    </row>
    <row r="13" customFormat="false" ht="15" hidden="false" customHeight="false" outlineLevel="0" collapsed="false">
      <c r="A13" s="5" t="s">
        <v>81</v>
      </c>
      <c r="B13" s="5" t="s">
        <v>92</v>
      </c>
      <c r="C13" s="5" t="s">
        <v>93</v>
      </c>
      <c r="D13" s="5" t="s">
        <v>81</v>
      </c>
      <c r="E13" s="5" t="s">
        <v>59</v>
      </c>
      <c r="F13" s="6" t="n">
        <v>20468.88</v>
      </c>
      <c r="G13" s="7" t="n">
        <v>296</v>
      </c>
      <c r="H13" s="8" t="n">
        <v>0.1889</v>
      </c>
      <c r="I13" s="8" t="n">
        <v>0.1255</v>
      </c>
      <c r="J13" s="7" t="n">
        <v>108</v>
      </c>
      <c r="K13" s="5" t="n">
        <v>14</v>
      </c>
      <c r="L13" s="5" t="n">
        <v>25</v>
      </c>
      <c r="M13" s="5" t="n">
        <v>4.1</v>
      </c>
      <c r="N13" s="9" t="s">
        <v>53</v>
      </c>
      <c r="O13" s="5"/>
      <c r="P13" s="5" t="s">
        <v>94</v>
      </c>
      <c r="Q13" s="14" t="s">
        <v>95</v>
      </c>
      <c r="R13" s="7" t="n">
        <v>2077</v>
      </c>
      <c r="S13" s="7" t="n">
        <v>120</v>
      </c>
      <c r="T13" s="5" t="s">
        <v>96</v>
      </c>
      <c r="U13" s="6" t="n">
        <v>234890.89</v>
      </c>
      <c r="V13" s="7" t="n">
        <v>3967</v>
      </c>
      <c r="W13" s="5" t="n">
        <v>32</v>
      </c>
      <c r="X13" s="7" t="n">
        <v>477</v>
      </c>
      <c r="Y13" s="7" t="n">
        <v>923</v>
      </c>
      <c r="Z13" s="7" t="n">
        <v>180</v>
      </c>
      <c r="AA13" s="10" t="n">
        <v>4.98</v>
      </c>
      <c r="AB13" s="11" t="n">
        <v>112.64</v>
      </c>
      <c r="AC13" s="10" t="n">
        <v>64.11</v>
      </c>
      <c r="AD13" s="12" t="n">
        <v>0.67</v>
      </c>
      <c r="AE13" s="12" t="n">
        <v>0.88</v>
      </c>
      <c r="AF13" s="12" t="n">
        <v>1</v>
      </c>
      <c r="AG13" s="7" t="n">
        <v>39</v>
      </c>
      <c r="AH13" s="7" t="n">
        <v>2193</v>
      </c>
      <c r="AI13" s="5" t="s">
        <v>97</v>
      </c>
    </row>
    <row r="14" customFormat="false" ht="15" hidden="false" customHeight="false" outlineLevel="0" collapsed="false">
      <c r="A14" s="5" t="s">
        <v>81</v>
      </c>
      <c r="B14" s="5" t="s">
        <v>98</v>
      </c>
      <c r="C14" s="5"/>
      <c r="D14" s="5" t="s">
        <v>81</v>
      </c>
      <c r="E14" s="5" t="s">
        <v>59</v>
      </c>
      <c r="F14" s="6" t="n">
        <v>20262.29</v>
      </c>
      <c r="G14" s="7" t="n">
        <v>116</v>
      </c>
      <c r="H14" s="8" t="n">
        <v>-0.0717</v>
      </c>
      <c r="I14" s="8" t="n">
        <v>-0.1888</v>
      </c>
      <c r="J14" s="7" t="n">
        <v>29</v>
      </c>
      <c r="K14" s="5" t="n">
        <v>13</v>
      </c>
      <c r="L14" s="5" t="n">
        <v>14</v>
      </c>
      <c r="M14" s="5" t="n">
        <v>4.3</v>
      </c>
      <c r="N14" s="9" t="s">
        <v>53</v>
      </c>
      <c r="O14" s="5"/>
      <c r="P14" s="5"/>
      <c r="Q14" s="5"/>
      <c r="R14" s="7"/>
      <c r="S14" s="7"/>
      <c r="T14" s="5"/>
      <c r="U14" s="6"/>
      <c r="V14" s="7"/>
      <c r="W14" s="5"/>
      <c r="X14" s="7"/>
      <c r="Y14" s="7"/>
      <c r="Z14" s="7"/>
      <c r="AA14" s="10"/>
      <c r="AB14" s="11"/>
      <c r="AC14" s="10"/>
      <c r="AD14" s="12"/>
      <c r="AE14" s="12"/>
      <c r="AF14" s="12"/>
      <c r="AG14" s="7"/>
      <c r="AH14" s="7"/>
      <c r="AI14" s="5" t="s">
        <v>99</v>
      </c>
    </row>
    <row r="15" customFormat="false" ht="15" hidden="false" customHeight="false" outlineLevel="0" collapsed="false">
      <c r="A15" s="5" t="s">
        <v>81</v>
      </c>
      <c r="B15" s="5" t="s">
        <v>100</v>
      </c>
      <c r="C15" s="5" t="s">
        <v>101</v>
      </c>
      <c r="D15" s="5" t="s">
        <v>81</v>
      </c>
      <c r="E15" s="5" t="s">
        <v>59</v>
      </c>
      <c r="F15" s="6" t="n">
        <v>20184.53</v>
      </c>
      <c r="G15" s="7" t="n">
        <v>1286</v>
      </c>
      <c r="H15" s="8" t="n">
        <v>1.2264</v>
      </c>
      <c r="I15" s="8" t="n">
        <v>1.3727</v>
      </c>
      <c r="J15" s="7" t="n">
        <v>0</v>
      </c>
      <c r="K15" s="5" t="n">
        <v>7</v>
      </c>
      <c r="L15" s="5" t="n">
        <v>44</v>
      </c>
      <c r="M15" s="5" t="n">
        <v>4.6</v>
      </c>
      <c r="N15" s="9" t="s">
        <v>53</v>
      </c>
      <c r="O15" s="5"/>
      <c r="P15" s="5"/>
      <c r="Q15" s="5"/>
      <c r="R15" s="7"/>
      <c r="S15" s="7"/>
      <c r="T15" s="5"/>
      <c r="U15" s="6"/>
      <c r="V15" s="7"/>
      <c r="W15" s="5"/>
      <c r="X15" s="7"/>
      <c r="Y15" s="7"/>
      <c r="Z15" s="7"/>
      <c r="AA15" s="10"/>
      <c r="AB15" s="11"/>
      <c r="AC15" s="10"/>
      <c r="AD15" s="12"/>
      <c r="AE15" s="12"/>
      <c r="AF15" s="12"/>
      <c r="AG15" s="7"/>
      <c r="AH15" s="7"/>
      <c r="AI15" s="5" t="s">
        <v>102</v>
      </c>
    </row>
    <row r="16" customFormat="false" ht="15" hidden="false" customHeight="false" outlineLevel="0" collapsed="false">
      <c r="A16" s="5" t="s">
        <v>81</v>
      </c>
      <c r="B16" s="5" t="s">
        <v>103</v>
      </c>
      <c r="C16" s="5" t="s">
        <v>104</v>
      </c>
      <c r="D16" s="5" t="s">
        <v>81</v>
      </c>
      <c r="E16" s="5" t="s">
        <v>59</v>
      </c>
      <c r="F16" s="6" t="n">
        <v>19801.14</v>
      </c>
      <c r="G16" s="7" t="n">
        <v>345</v>
      </c>
      <c r="H16" s="8" t="n">
        <v>0.0838</v>
      </c>
      <c r="I16" s="8" t="n">
        <v>-0.1062</v>
      </c>
      <c r="J16" s="7" t="n">
        <v>138</v>
      </c>
      <c r="K16" s="5" t="n">
        <v>38</v>
      </c>
      <c r="L16" s="5" t="n">
        <v>65</v>
      </c>
      <c r="M16" s="5" t="n">
        <v>3.8</v>
      </c>
      <c r="N16" s="9" t="s">
        <v>53</v>
      </c>
      <c r="O16" s="5"/>
      <c r="P16" s="5" t="s">
        <v>105</v>
      </c>
      <c r="Q16" s="14" t="s">
        <v>106</v>
      </c>
      <c r="R16" s="7" t="n">
        <v>1552</v>
      </c>
      <c r="S16" s="7" t="n">
        <v>355</v>
      </c>
      <c r="T16" s="5" t="s">
        <v>107</v>
      </c>
      <c r="U16" s="6" t="n">
        <v>261110.58</v>
      </c>
      <c r="V16" s="7" t="n">
        <v>7540</v>
      </c>
      <c r="W16" s="5" t="n">
        <v>99</v>
      </c>
      <c r="X16" s="7" t="n">
        <v>878</v>
      </c>
      <c r="Y16" s="7" t="n">
        <v>1524</v>
      </c>
      <c r="Z16" s="7" t="n">
        <v>370</v>
      </c>
      <c r="AA16" s="10" t="n">
        <v>2.63</v>
      </c>
      <c r="AB16" s="11" t="n">
        <v>114.65</v>
      </c>
      <c r="AC16" s="10" t="n">
        <v>36.57</v>
      </c>
      <c r="AD16" s="12" t="n">
        <v>0.76</v>
      </c>
      <c r="AE16" s="12" t="n">
        <v>0.87</v>
      </c>
      <c r="AF16" s="12" t="n">
        <v>1</v>
      </c>
      <c r="AG16" s="7" t="n">
        <v>36</v>
      </c>
      <c r="AH16" s="7" t="n">
        <v>2152</v>
      </c>
      <c r="AI16" s="5" t="s">
        <v>108</v>
      </c>
    </row>
    <row r="17" customFormat="false" ht="15" hidden="false" customHeight="false" outlineLevel="0" collapsed="false">
      <c r="A17" s="5" t="s">
        <v>81</v>
      </c>
      <c r="B17" s="5" t="s">
        <v>109</v>
      </c>
      <c r="C17" s="5" t="s">
        <v>110</v>
      </c>
      <c r="D17" s="5" t="s">
        <v>58</v>
      </c>
      <c r="E17" s="5" t="s">
        <v>59</v>
      </c>
      <c r="F17" s="6" t="n">
        <v>19036.98</v>
      </c>
      <c r="G17" s="7" t="n">
        <v>934</v>
      </c>
      <c r="H17" s="8" t="n">
        <v>2.8139</v>
      </c>
      <c r="I17" s="8" t="n">
        <v>3.3241</v>
      </c>
      <c r="J17" s="7" t="n">
        <v>45</v>
      </c>
      <c r="K17" s="5" t="n">
        <v>26</v>
      </c>
      <c r="L17" s="5" t="n">
        <v>3152</v>
      </c>
      <c r="M17" s="5" t="n">
        <v>4</v>
      </c>
      <c r="N17" s="15" t="s">
        <v>111</v>
      </c>
      <c r="O17" s="5" t="s">
        <v>112</v>
      </c>
      <c r="P17" s="5"/>
      <c r="Q17" s="5"/>
      <c r="R17" s="7"/>
      <c r="S17" s="7"/>
      <c r="T17" s="5"/>
      <c r="U17" s="6"/>
      <c r="V17" s="7"/>
      <c r="W17" s="5"/>
      <c r="X17" s="7"/>
      <c r="Y17" s="7"/>
      <c r="Z17" s="7"/>
      <c r="AA17" s="10"/>
      <c r="AB17" s="11"/>
      <c r="AC17" s="10"/>
      <c r="AD17" s="12"/>
      <c r="AE17" s="12"/>
      <c r="AF17" s="12"/>
      <c r="AG17" s="7"/>
      <c r="AH17" s="7"/>
      <c r="AI17" s="5" t="s">
        <v>113</v>
      </c>
    </row>
    <row r="18" customFormat="false" ht="15" hidden="false" customHeight="false" outlineLevel="0" collapsed="false">
      <c r="A18" s="5" t="s">
        <v>81</v>
      </c>
      <c r="B18" s="5" t="s">
        <v>114</v>
      </c>
      <c r="C18" s="5" t="s">
        <v>115</v>
      </c>
      <c r="D18" s="5" t="s">
        <v>81</v>
      </c>
      <c r="E18" s="5" t="s">
        <v>59</v>
      </c>
      <c r="F18" s="6" t="n">
        <v>18961.4</v>
      </c>
      <c r="G18" s="7" t="n">
        <v>411</v>
      </c>
      <c r="H18" s="8" t="n">
        <v>1.1644</v>
      </c>
      <c r="I18" s="8" t="n">
        <v>0.9855</v>
      </c>
      <c r="J18" s="7" t="n">
        <v>261</v>
      </c>
      <c r="K18" s="5" t="n">
        <v>11</v>
      </c>
      <c r="L18" s="5" t="n">
        <v>19</v>
      </c>
      <c r="M18" s="5" t="n">
        <v>4.3</v>
      </c>
      <c r="N18" s="9" t="s">
        <v>53</v>
      </c>
      <c r="O18" s="5"/>
      <c r="P18" s="5" t="s">
        <v>116</v>
      </c>
      <c r="Q18" s="14" t="s">
        <v>117</v>
      </c>
      <c r="R18" s="7" t="n">
        <v>96364</v>
      </c>
      <c r="S18" s="7" t="n">
        <v>618</v>
      </c>
      <c r="T18" s="5" t="s">
        <v>118</v>
      </c>
      <c r="U18" s="6" t="n">
        <v>69954.25</v>
      </c>
      <c r="V18" s="7" t="n">
        <v>3550</v>
      </c>
      <c r="W18" s="5" t="n">
        <v>83</v>
      </c>
      <c r="X18" s="7" t="n">
        <v>625</v>
      </c>
      <c r="Y18" s="7" t="n">
        <v>1266</v>
      </c>
      <c r="Z18" s="7" t="n">
        <v>69</v>
      </c>
      <c r="AA18" s="10" t="n">
        <v>2.4</v>
      </c>
      <c r="AB18" s="11" t="n">
        <v>253.5</v>
      </c>
      <c r="AC18" s="10" t="n">
        <v>19.8</v>
      </c>
      <c r="AD18" s="12" t="n">
        <v>0.73</v>
      </c>
      <c r="AE18" s="12" t="n">
        <v>0.97</v>
      </c>
      <c r="AF18" s="12" t="n">
        <v>1</v>
      </c>
      <c r="AG18" s="7" t="n">
        <v>28</v>
      </c>
      <c r="AH18" s="7" t="n">
        <v>1935</v>
      </c>
      <c r="AI18" s="5" t="s">
        <v>119</v>
      </c>
    </row>
    <row r="19" customFormat="false" ht="15" hidden="false" customHeight="false" outlineLevel="0" collapsed="false">
      <c r="A19" s="5" t="s">
        <v>81</v>
      </c>
      <c r="B19" s="5" t="s">
        <v>120</v>
      </c>
      <c r="C19" s="5" t="s">
        <v>121</v>
      </c>
      <c r="D19" s="5" t="s">
        <v>81</v>
      </c>
      <c r="E19" s="5" t="s">
        <v>52</v>
      </c>
      <c r="F19" s="6" t="n">
        <v>18900.14</v>
      </c>
      <c r="G19" s="7" t="n">
        <v>2342</v>
      </c>
      <c r="H19" s="8" t="n">
        <v>0.8616</v>
      </c>
      <c r="I19" s="8" t="n">
        <v>0.8441</v>
      </c>
      <c r="J19" s="7" t="n">
        <v>109</v>
      </c>
      <c r="K19" s="5" t="n">
        <v>9</v>
      </c>
      <c r="L19" s="5" t="n">
        <v>9</v>
      </c>
      <c r="M19" s="5" t="n">
        <v>4.8</v>
      </c>
      <c r="N19" s="9" t="s">
        <v>53</v>
      </c>
      <c r="O19" s="5"/>
      <c r="P19" s="5"/>
      <c r="Q19" s="5"/>
      <c r="R19" s="7"/>
      <c r="S19" s="7"/>
      <c r="T19" s="5"/>
      <c r="U19" s="6"/>
      <c r="V19" s="7"/>
      <c r="W19" s="5"/>
      <c r="X19" s="7"/>
      <c r="Y19" s="7"/>
      <c r="Z19" s="7"/>
      <c r="AA19" s="10"/>
      <c r="AB19" s="11"/>
      <c r="AC19" s="10"/>
      <c r="AD19" s="12"/>
      <c r="AE19" s="12"/>
      <c r="AF19" s="12"/>
      <c r="AG19" s="7"/>
      <c r="AH19" s="7"/>
      <c r="AI19" s="5" t="s">
        <v>122</v>
      </c>
    </row>
    <row r="20" customFormat="false" ht="15" hidden="false" customHeight="false" outlineLevel="0" collapsed="false">
      <c r="A20" s="5" t="s">
        <v>90</v>
      </c>
      <c r="B20" s="5" t="s">
        <v>123</v>
      </c>
      <c r="C20" s="5" t="s">
        <v>124</v>
      </c>
      <c r="D20" s="5" t="s">
        <v>90</v>
      </c>
      <c r="E20" s="5" t="s">
        <v>59</v>
      </c>
      <c r="F20" s="6" t="n">
        <v>26104.16</v>
      </c>
      <c r="G20" s="7" t="n">
        <v>895</v>
      </c>
      <c r="H20" s="8" t="n">
        <v>-0.5544</v>
      </c>
      <c r="I20" s="8" t="n">
        <v>-0.6368</v>
      </c>
      <c r="J20" s="7" t="n">
        <v>854</v>
      </c>
      <c r="K20" s="5" t="n">
        <v>35</v>
      </c>
      <c r="L20" s="5" t="n">
        <v>93</v>
      </c>
      <c r="M20" s="5" t="n">
        <v>3.5</v>
      </c>
      <c r="N20" s="15" t="s">
        <v>111</v>
      </c>
      <c r="O20" s="5" t="s">
        <v>125</v>
      </c>
      <c r="P20" s="5" t="s">
        <v>126</v>
      </c>
      <c r="Q20" s="14" t="s">
        <v>127</v>
      </c>
      <c r="R20" s="7" t="n">
        <v>18674</v>
      </c>
      <c r="S20" s="7" t="n">
        <v>289</v>
      </c>
      <c r="T20" s="5" t="s">
        <v>128</v>
      </c>
      <c r="U20" s="6" t="n">
        <v>831268.17</v>
      </c>
      <c r="V20" s="7" t="n">
        <v>41459</v>
      </c>
      <c r="W20" s="5" t="n">
        <v>146</v>
      </c>
      <c r="X20" s="7" t="n">
        <v>4277</v>
      </c>
      <c r="Y20" s="7" t="n">
        <v>9003</v>
      </c>
      <c r="Z20" s="7" t="n">
        <v>1818</v>
      </c>
      <c r="AA20" s="10" t="n">
        <v>4.8</v>
      </c>
      <c r="AB20" s="11" t="n">
        <v>83</v>
      </c>
      <c r="AC20" s="10" t="n">
        <v>22.52</v>
      </c>
      <c r="AD20" s="12" t="n">
        <v>0.62</v>
      </c>
      <c r="AE20" s="12" t="n">
        <v>0.94</v>
      </c>
      <c r="AF20" s="12" t="n">
        <v>0.84</v>
      </c>
      <c r="AG20" s="7" t="n">
        <v>294</v>
      </c>
      <c r="AH20" s="7" t="n">
        <v>1709</v>
      </c>
      <c r="AI20" s="5" t="s">
        <v>129</v>
      </c>
    </row>
    <row r="21" customFormat="false" ht="15" hidden="false" customHeight="false" outlineLevel="0" collapsed="false">
      <c r="A21" s="5" t="s">
        <v>90</v>
      </c>
      <c r="B21" s="5" t="s">
        <v>130</v>
      </c>
      <c r="C21" s="5"/>
      <c r="D21" s="5" t="s">
        <v>90</v>
      </c>
      <c r="E21" s="5" t="s">
        <v>59</v>
      </c>
      <c r="F21" s="6" t="n">
        <v>24099.73</v>
      </c>
      <c r="G21" s="7" t="n">
        <v>1287</v>
      </c>
      <c r="H21" s="8" t="n">
        <v>3.1523</v>
      </c>
      <c r="I21" s="8" t="n">
        <v>1.9518</v>
      </c>
      <c r="J21" s="7" t="n">
        <v>154</v>
      </c>
      <c r="K21" s="5" t="n">
        <v>4</v>
      </c>
      <c r="L21" s="5" t="n">
        <v>8</v>
      </c>
      <c r="M21" s="5" t="n">
        <v>4.4</v>
      </c>
      <c r="N21" s="9" t="s">
        <v>53</v>
      </c>
      <c r="O21" s="5"/>
      <c r="P21" s="5" t="s">
        <v>131</v>
      </c>
      <c r="Q21" s="14" t="s">
        <v>132</v>
      </c>
      <c r="R21" s="7" t="n">
        <v>33</v>
      </c>
      <c r="S21" s="7" t="n">
        <v>82</v>
      </c>
      <c r="T21" s="5" t="s">
        <v>133</v>
      </c>
      <c r="U21" s="6" t="n">
        <v>149779.49</v>
      </c>
      <c r="V21" s="7" t="n">
        <v>10650</v>
      </c>
      <c r="W21" s="5" t="n">
        <v>37</v>
      </c>
      <c r="X21" s="7" t="n">
        <v>1211</v>
      </c>
      <c r="Y21" s="7" t="n">
        <v>2447</v>
      </c>
      <c r="Z21" s="7" t="n">
        <v>155</v>
      </c>
      <c r="AA21" s="10" t="n">
        <v>3</v>
      </c>
      <c r="AB21" s="11" t="n">
        <v>95</v>
      </c>
      <c r="AC21" s="10" t="n">
        <v>8.11</v>
      </c>
      <c r="AD21" s="12" t="n">
        <v>0.7</v>
      </c>
      <c r="AE21" s="12" t="n">
        <v>0.72</v>
      </c>
      <c r="AF21" s="12" t="n">
        <v>1</v>
      </c>
      <c r="AG21" s="7" t="n">
        <v>236</v>
      </c>
      <c r="AH21" s="7" t="n">
        <v>1324</v>
      </c>
      <c r="AI21" s="5" t="s">
        <v>134</v>
      </c>
    </row>
    <row r="22" customFormat="false" ht="15" hidden="false" customHeight="false" outlineLevel="0" collapsed="false">
      <c r="A22" s="5" t="s">
        <v>90</v>
      </c>
      <c r="B22" s="5" t="s">
        <v>135</v>
      </c>
      <c r="C22" s="5"/>
      <c r="D22" s="5" t="s">
        <v>90</v>
      </c>
      <c r="E22" s="5" t="s">
        <v>59</v>
      </c>
      <c r="F22" s="6" t="n">
        <v>23896.57</v>
      </c>
      <c r="G22" s="7" t="n">
        <v>1370</v>
      </c>
      <c r="H22" s="8" t="n">
        <v>1.3801</v>
      </c>
      <c r="I22" s="8" t="n">
        <v>0.7452</v>
      </c>
      <c r="J22" s="7" t="n">
        <v>800</v>
      </c>
      <c r="K22" s="5" t="n">
        <v>7</v>
      </c>
      <c r="L22" s="5" t="n">
        <v>8</v>
      </c>
      <c r="M22" s="5" t="n">
        <v>4.4</v>
      </c>
      <c r="N22" s="9" t="s">
        <v>53</v>
      </c>
      <c r="O22" s="5" t="s">
        <v>136</v>
      </c>
      <c r="P22" s="5"/>
      <c r="Q22" s="5"/>
      <c r="R22" s="7"/>
      <c r="S22" s="7"/>
      <c r="T22" s="5" t="s">
        <v>137</v>
      </c>
      <c r="U22" s="6" t="n">
        <v>38863.2</v>
      </c>
      <c r="V22" s="7" t="n">
        <v>3063</v>
      </c>
      <c r="W22" s="5" t="n">
        <v>8</v>
      </c>
      <c r="X22" s="7" t="n">
        <v>1075</v>
      </c>
      <c r="Y22" s="7" t="n">
        <v>2331</v>
      </c>
      <c r="Z22" s="7" t="n">
        <v>121</v>
      </c>
      <c r="AA22" s="10" t="n">
        <v>7.79</v>
      </c>
      <c r="AB22" s="11" t="n">
        <v>76.25</v>
      </c>
      <c r="AC22" s="10"/>
      <c r="AD22" s="12"/>
      <c r="AE22" s="12"/>
      <c r="AF22" s="12"/>
      <c r="AG22" s="7" t="n">
        <v>317</v>
      </c>
      <c r="AH22" s="7" t="n">
        <v>1925</v>
      </c>
      <c r="AI22" s="5" t="s">
        <v>138</v>
      </c>
    </row>
    <row r="23" customFormat="false" ht="15" hidden="false" customHeight="false" outlineLevel="0" collapsed="false">
      <c r="A23" s="5" t="s">
        <v>90</v>
      </c>
      <c r="B23" s="5" t="s">
        <v>139</v>
      </c>
      <c r="C23" s="5" t="s">
        <v>140</v>
      </c>
      <c r="D23" s="5" t="s">
        <v>90</v>
      </c>
      <c r="E23" s="5" t="s">
        <v>52</v>
      </c>
      <c r="F23" s="6" t="n">
        <v>23872.6</v>
      </c>
      <c r="G23" s="7" t="n">
        <v>1704</v>
      </c>
      <c r="H23" s="8" t="n">
        <v>-0.2842</v>
      </c>
      <c r="I23" s="8" t="n">
        <v>-0.4081</v>
      </c>
      <c r="J23" s="7" t="n">
        <v>1240</v>
      </c>
      <c r="K23" s="5" t="n">
        <v>39</v>
      </c>
      <c r="L23" s="5" t="n">
        <v>93</v>
      </c>
      <c r="M23" s="5" t="n">
        <v>4.7</v>
      </c>
      <c r="N23" s="9" t="s">
        <v>53</v>
      </c>
      <c r="O23" s="5"/>
      <c r="P23" s="5"/>
      <c r="Q23" s="5"/>
      <c r="R23" s="7"/>
      <c r="S23" s="7"/>
      <c r="T23" s="5"/>
      <c r="U23" s="6"/>
      <c r="V23" s="7"/>
      <c r="W23" s="5"/>
      <c r="X23" s="7"/>
      <c r="Y23" s="7"/>
      <c r="Z23" s="7"/>
      <c r="AA23" s="10"/>
      <c r="AB23" s="11"/>
      <c r="AC23" s="10"/>
      <c r="AD23" s="12"/>
      <c r="AE23" s="12"/>
      <c r="AF23" s="12"/>
      <c r="AG23" s="7"/>
      <c r="AH23" s="7"/>
      <c r="AI23" s="5" t="s">
        <v>141</v>
      </c>
    </row>
    <row r="24" customFormat="false" ht="15" hidden="false" customHeight="false" outlineLevel="0" collapsed="false">
      <c r="A24" s="5" t="s">
        <v>90</v>
      </c>
      <c r="B24" s="5" t="s">
        <v>142</v>
      </c>
      <c r="C24" s="5" t="s">
        <v>143</v>
      </c>
      <c r="D24" s="5" t="s">
        <v>90</v>
      </c>
      <c r="E24" s="5" t="s">
        <v>59</v>
      </c>
      <c r="F24" s="6" t="n">
        <v>23770.07</v>
      </c>
      <c r="G24" s="7" t="n">
        <v>2677</v>
      </c>
      <c r="H24" s="8" t="n">
        <v>0.6142</v>
      </c>
      <c r="I24" s="8" t="n">
        <v>0.3972</v>
      </c>
      <c r="J24" s="7" t="n">
        <v>80</v>
      </c>
      <c r="K24" s="5" t="n">
        <v>39</v>
      </c>
      <c r="L24" s="5" t="n">
        <v>35</v>
      </c>
      <c r="M24" s="5" t="n">
        <v>3.7</v>
      </c>
      <c r="N24" s="9" t="s">
        <v>53</v>
      </c>
      <c r="O24" s="5"/>
      <c r="P24" s="5"/>
      <c r="Q24" s="5"/>
      <c r="R24" s="7"/>
      <c r="S24" s="7"/>
      <c r="T24" s="5"/>
      <c r="U24" s="6"/>
      <c r="V24" s="7"/>
      <c r="W24" s="5"/>
      <c r="X24" s="7"/>
      <c r="Y24" s="7"/>
      <c r="Z24" s="7"/>
      <c r="AA24" s="10"/>
      <c r="AB24" s="11"/>
      <c r="AC24" s="10"/>
      <c r="AD24" s="12"/>
      <c r="AE24" s="12"/>
      <c r="AF24" s="12"/>
      <c r="AG24" s="7"/>
      <c r="AH24" s="7"/>
      <c r="AI24" s="5" t="s">
        <v>144</v>
      </c>
    </row>
    <row r="25" customFormat="false" ht="15" hidden="false" customHeight="false" outlineLevel="0" collapsed="false">
      <c r="A25" s="5" t="s">
        <v>90</v>
      </c>
      <c r="B25" s="5" t="s">
        <v>145</v>
      </c>
      <c r="C25" s="5" t="s">
        <v>146</v>
      </c>
      <c r="D25" s="5" t="s">
        <v>90</v>
      </c>
      <c r="E25" s="5" t="s">
        <v>52</v>
      </c>
      <c r="F25" s="6" t="n">
        <v>23760.35</v>
      </c>
      <c r="G25" s="7" t="n">
        <v>5877</v>
      </c>
      <c r="H25" s="8" t="n">
        <v>-0.18</v>
      </c>
      <c r="I25" s="8" t="n">
        <v>-0.1827</v>
      </c>
      <c r="J25" s="7" t="n">
        <v>411</v>
      </c>
      <c r="K25" s="5" t="n">
        <v>90</v>
      </c>
      <c r="L25" s="5" t="n">
        <v>91</v>
      </c>
      <c r="M25" s="5" t="n">
        <v>4.7</v>
      </c>
      <c r="N25" s="9" t="s">
        <v>53</v>
      </c>
      <c r="O25" s="5"/>
      <c r="P25" s="5"/>
      <c r="Q25" s="5"/>
      <c r="R25" s="7"/>
      <c r="S25" s="7"/>
      <c r="T25" s="5"/>
      <c r="U25" s="6"/>
      <c r="V25" s="7"/>
      <c r="W25" s="5"/>
      <c r="X25" s="7"/>
      <c r="Y25" s="7"/>
      <c r="Z25" s="7"/>
      <c r="AA25" s="10"/>
      <c r="AB25" s="11"/>
      <c r="AC25" s="10"/>
      <c r="AD25" s="12"/>
      <c r="AE25" s="12"/>
      <c r="AF25" s="12"/>
      <c r="AG25" s="7"/>
      <c r="AH25" s="7"/>
      <c r="AI25" s="5" t="s">
        <v>147</v>
      </c>
    </row>
    <row r="26" customFormat="false" ht="15" hidden="false" customHeight="false" outlineLevel="0" collapsed="false">
      <c r="A26" s="5" t="s">
        <v>90</v>
      </c>
      <c r="B26" s="5" t="s">
        <v>148</v>
      </c>
      <c r="C26" s="5"/>
      <c r="D26" s="5" t="s">
        <v>149</v>
      </c>
      <c r="E26" s="5" t="s">
        <v>59</v>
      </c>
      <c r="F26" s="6" t="n">
        <v>23677.11</v>
      </c>
      <c r="G26" s="7" t="n">
        <v>1604</v>
      </c>
      <c r="H26" s="8" t="n">
        <v>-0.3777</v>
      </c>
      <c r="I26" s="8" t="n">
        <v>-0.3859</v>
      </c>
      <c r="J26" s="7" t="n">
        <v>143</v>
      </c>
      <c r="K26" s="5" t="n">
        <v>16</v>
      </c>
      <c r="L26" s="5" t="n">
        <v>98</v>
      </c>
      <c r="M26" s="5" t="n">
        <v>3.6</v>
      </c>
      <c r="N26" s="15" t="s">
        <v>111</v>
      </c>
      <c r="O26" s="5" t="s">
        <v>150</v>
      </c>
      <c r="P26" s="5"/>
      <c r="Q26" s="5"/>
      <c r="R26" s="7"/>
      <c r="S26" s="7"/>
      <c r="T26" s="5"/>
      <c r="U26" s="6"/>
      <c r="V26" s="7"/>
      <c r="W26" s="5"/>
      <c r="X26" s="7"/>
      <c r="Y26" s="7"/>
      <c r="Z26" s="7"/>
      <c r="AA26" s="10"/>
      <c r="AB26" s="11"/>
      <c r="AC26" s="10"/>
      <c r="AD26" s="12"/>
      <c r="AE26" s="12"/>
      <c r="AF26" s="12"/>
      <c r="AG26" s="7"/>
      <c r="AH26" s="7"/>
      <c r="AI26" s="5" t="s">
        <v>151</v>
      </c>
    </row>
    <row r="27" customFormat="false" ht="15" hidden="false" customHeight="false" outlineLevel="0" collapsed="false">
      <c r="A27" s="5" t="s">
        <v>90</v>
      </c>
      <c r="B27" s="5" t="s">
        <v>152</v>
      </c>
      <c r="C27" s="5" t="s">
        <v>153</v>
      </c>
      <c r="D27" s="5" t="s">
        <v>90</v>
      </c>
      <c r="E27" s="5" t="s">
        <v>59</v>
      </c>
      <c r="F27" s="6" t="n">
        <v>23591.27</v>
      </c>
      <c r="G27" s="7" t="n">
        <v>924</v>
      </c>
      <c r="H27" s="8" t="n">
        <v>-0.3387</v>
      </c>
      <c r="I27" s="8" t="n">
        <v>-0.464</v>
      </c>
      <c r="J27" s="7" t="n">
        <v>184</v>
      </c>
      <c r="K27" s="5" t="n">
        <v>6</v>
      </c>
      <c r="L27" s="5" t="n">
        <v>49</v>
      </c>
      <c r="M27" s="5" t="n">
        <v>4</v>
      </c>
      <c r="N27" s="15" t="s">
        <v>111</v>
      </c>
      <c r="O27" s="5" t="s">
        <v>154</v>
      </c>
      <c r="P27" s="5"/>
      <c r="Q27" s="5"/>
      <c r="R27" s="7"/>
      <c r="S27" s="7"/>
      <c r="T27" s="5"/>
      <c r="U27" s="6"/>
      <c r="V27" s="7"/>
      <c r="W27" s="5"/>
      <c r="X27" s="7"/>
      <c r="Y27" s="7"/>
      <c r="Z27" s="7"/>
      <c r="AA27" s="10"/>
      <c r="AB27" s="11"/>
      <c r="AC27" s="10"/>
      <c r="AD27" s="12"/>
      <c r="AE27" s="12"/>
      <c r="AF27" s="12"/>
      <c r="AG27" s="7"/>
      <c r="AH27" s="7"/>
      <c r="AI27" s="5" t="s">
        <v>155</v>
      </c>
    </row>
    <row r="28" customFormat="false" ht="15" hidden="false" customHeight="false" outlineLevel="0" collapsed="false">
      <c r="A28" s="5" t="s">
        <v>90</v>
      </c>
      <c r="B28" s="5" t="s">
        <v>156</v>
      </c>
      <c r="C28" s="5" t="s">
        <v>157</v>
      </c>
      <c r="D28" s="5" t="s">
        <v>90</v>
      </c>
      <c r="E28" s="5" t="s">
        <v>52</v>
      </c>
      <c r="F28" s="6" t="n">
        <v>23490.46</v>
      </c>
      <c r="G28" s="7" t="n">
        <v>4061</v>
      </c>
      <c r="H28" s="8" t="n">
        <v>0.2824</v>
      </c>
      <c r="I28" s="8" t="n">
        <v>0.1321</v>
      </c>
      <c r="J28" s="7" t="n">
        <v>480</v>
      </c>
      <c r="K28" s="5" t="n">
        <v>174</v>
      </c>
      <c r="L28" s="5" t="n">
        <v>351</v>
      </c>
      <c r="M28" s="5" t="n">
        <v>4.6</v>
      </c>
      <c r="N28" s="9" t="s">
        <v>53</v>
      </c>
      <c r="O28" s="5"/>
      <c r="P28" s="5"/>
      <c r="Q28" s="5"/>
      <c r="R28" s="7"/>
      <c r="S28" s="7"/>
      <c r="T28" s="5"/>
      <c r="U28" s="6"/>
      <c r="V28" s="7"/>
      <c r="W28" s="5"/>
      <c r="X28" s="7"/>
      <c r="Y28" s="7"/>
      <c r="Z28" s="7"/>
      <c r="AA28" s="10"/>
      <c r="AB28" s="11"/>
      <c r="AC28" s="10"/>
      <c r="AD28" s="12"/>
      <c r="AE28" s="12"/>
      <c r="AF28" s="12"/>
      <c r="AG28" s="7"/>
      <c r="AH28" s="7"/>
      <c r="AI28" s="5" t="s">
        <v>158</v>
      </c>
    </row>
    <row r="29" customFormat="false" ht="15" hidden="false" customHeight="false" outlineLevel="0" collapsed="false">
      <c r="A29" s="5" t="s">
        <v>90</v>
      </c>
      <c r="B29" s="5" t="s">
        <v>159</v>
      </c>
      <c r="C29" s="5" t="s">
        <v>160</v>
      </c>
      <c r="D29" s="5" t="s">
        <v>58</v>
      </c>
      <c r="E29" s="5" t="s">
        <v>59</v>
      </c>
      <c r="F29" s="6" t="n">
        <v>22832.68</v>
      </c>
      <c r="G29" s="7" t="n">
        <v>1280</v>
      </c>
      <c r="H29" s="8" t="n">
        <v>0.4714</v>
      </c>
      <c r="I29" s="8" t="n">
        <v>0.3646</v>
      </c>
      <c r="J29" s="7" t="n">
        <v>81</v>
      </c>
      <c r="K29" s="5" t="n">
        <v>9</v>
      </c>
      <c r="L29" s="5" t="n">
        <v>49</v>
      </c>
      <c r="M29" s="5" t="n">
        <v>4</v>
      </c>
      <c r="N29" s="13" t="s">
        <v>60</v>
      </c>
      <c r="O29" s="5"/>
      <c r="P29" s="5"/>
      <c r="Q29" s="5"/>
      <c r="R29" s="7"/>
      <c r="S29" s="7"/>
      <c r="T29" s="5"/>
      <c r="U29" s="6"/>
      <c r="V29" s="7"/>
      <c r="W29" s="5"/>
      <c r="X29" s="7"/>
      <c r="Y29" s="7"/>
      <c r="Z29" s="7"/>
      <c r="AA29" s="10"/>
      <c r="AB29" s="11"/>
      <c r="AC29" s="10"/>
      <c r="AD29" s="12"/>
      <c r="AE29" s="12"/>
      <c r="AF29" s="12"/>
      <c r="AG29" s="7"/>
      <c r="AH29" s="7"/>
      <c r="AI29" s="5" t="s">
        <v>161</v>
      </c>
    </row>
    <row r="30" customFormat="false" ht="15" hidden="false" customHeight="false" outlineLevel="0" collapsed="false">
      <c r="A30" s="5" t="s">
        <v>90</v>
      </c>
      <c r="B30" s="5" t="s">
        <v>162</v>
      </c>
      <c r="C30" s="5" t="s">
        <v>162</v>
      </c>
      <c r="D30" s="5" t="s">
        <v>90</v>
      </c>
      <c r="E30" s="5" t="s">
        <v>59</v>
      </c>
      <c r="F30" s="6" t="n">
        <v>22693.36</v>
      </c>
      <c r="G30" s="7" t="n">
        <v>1206</v>
      </c>
      <c r="H30" s="8" t="n">
        <v>-0.3809</v>
      </c>
      <c r="I30" s="8" t="n">
        <v>-0.4647</v>
      </c>
      <c r="J30" s="7" t="n">
        <v>1082</v>
      </c>
      <c r="K30" s="5" t="n">
        <v>81</v>
      </c>
      <c r="L30" s="5" t="n">
        <v>240</v>
      </c>
      <c r="M30" s="5" t="n">
        <v>3.9</v>
      </c>
      <c r="N30" s="9" t="s">
        <v>53</v>
      </c>
      <c r="O30" s="5"/>
      <c r="P30" s="5" t="s">
        <v>162</v>
      </c>
      <c r="Q30" s="14" t="s">
        <v>163</v>
      </c>
      <c r="R30" s="7" t="n">
        <v>149555</v>
      </c>
      <c r="S30" s="7" t="n">
        <v>5076</v>
      </c>
      <c r="T30" s="5" t="s">
        <v>164</v>
      </c>
      <c r="U30" s="6" t="n">
        <v>806078.78</v>
      </c>
      <c r="V30" s="7" t="n">
        <v>62362</v>
      </c>
      <c r="W30" s="5" t="n">
        <v>556</v>
      </c>
      <c r="X30" s="7" t="n">
        <v>1530</v>
      </c>
      <c r="Y30" s="7" t="n">
        <v>3071</v>
      </c>
      <c r="Z30" s="7" t="n">
        <v>654</v>
      </c>
      <c r="AA30" s="10" t="n">
        <v>2.99</v>
      </c>
      <c r="AB30" s="11" t="n">
        <v>169.99</v>
      </c>
      <c r="AC30" s="10" t="n">
        <v>14.44</v>
      </c>
      <c r="AD30" s="12" t="n">
        <v>0.76</v>
      </c>
      <c r="AE30" s="12" t="n">
        <v>0.92</v>
      </c>
      <c r="AF30" s="12" t="n">
        <v>0.96</v>
      </c>
      <c r="AG30" s="7" t="n">
        <v>312</v>
      </c>
      <c r="AH30" s="7" t="n">
        <v>1876</v>
      </c>
      <c r="AI30" s="5" t="s">
        <v>165</v>
      </c>
    </row>
    <row r="31" customFormat="false" ht="15" hidden="false" customHeight="false" outlineLevel="0" collapsed="false">
      <c r="A31" s="5" t="s">
        <v>90</v>
      </c>
      <c r="B31" s="5" t="s">
        <v>166</v>
      </c>
      <c r="C31" s="5" t="s">
        <v>167</v>
      </c>
      <c r="D31" s="5" t="s">
        <v>90</v>
      </c>
      <c r="E31" s="5" t="s">
        <v>52</v>
      </c>
      <c r="F31" s="6" t="n">
        <v>21151.78</v>
      </c>
      <c r="G31" s="7" t="n">
        <v>904</v>
      </c>
      <c r="H31" s="8" t="n">
        <v>18.0385</v>
      </c>
      <c r="I31" s="8" t="n">
        <v>17.8333</v>
      </c>
      <c r="J31" s="7" t="n">
        <v>22</v>
      </c>
      <c r="K31" s="5" t="n">
        <v>5</v>
      </c>
      <c r="L31" s="5" t="n">
        <v>23</v>
      </c>
      <c r="M31" s="5" t="n">
        <v>3.7</v>
      </c>
      <c r="N31" s="9" t="s">
        <v>53</v>
      </c>
      <c r="O31" s="5"/>
      <c r="P31" s="5"/>
      <c r="Q31" s="5"/>
      <c r="R31" s="7"/>
      <c r="S31" s="7"/>
      <c r="T31" s="5"/>
      <c r="U31" s="6"/>
      <c r="V31" s="7"/>
      <c r="W31" s="5"/>
      <c r="X31" s="7"/>
      <c r="Y31" s="7"/>
      <c r="Z31" s="7"/>
      <c r="AA31" s="10"/>
      <c r="AB31" s="11"/>
      <c r="AC31" s="10"/>
      <c r="AD31" s="12"/>
      <c r="AE31" s="12"/>
      <c r="AF31" s="12"/>
      <c r="AG31" s="7"/>
      <c r="AH31" s="7"/>
      <c r="AI31" s="5" t="s">
        <v>168</v>
      </c>
    </row>
    <row r="32" customFormat="false" ht="15" hidden="false" customHeight="false" outlineLevel="0" collapsed="false">
      <c r="A32" s="5" t="s">
        <v>90</v>
      </c>
      <c r="B32" s="5" t="s">
        <v>169</v>
      </c>
      <c r="C32" s="5"/>
      <c r="D32" s="5" t="s">
        <v>170</v>
      </c>
      <c r="E32" s="5" t="s">
        <v>52</v>
      </c>
      <c r="F32" s="6" t="n">
        <v>12454.15</v>
      </c>
      <c r="G32" s="7" t="n">
        <v>908</v>
      </c>
      <c r="H32" s="8" t="n">
        <v>-0.2428</v>
      </c>
      <c r="I32" s="8" t="n">
        <v>-0.0668</v>
      </c>
      <c r="J32" s="7" t="n">
        <v>19</v>
      </c>
      <c r="K32" s="5" t="n">
        <v>4</v>
      </c>
      <c r="L32" s="5" t="n">
        <v>119</v>
      </c>
      <c r="M32" s="5" t="n">
        <v>4.2</v>
      </c>
      <c r="N32" s="13" t="s">
        <v>60</v>
      </c>
      <c r="O32" s="5"/>
      <c r="P32" s="5"/>
      <c r="Q32" s="5"/>
      <c r="R32" s="7"/>
      <c r="S32" s="7"/>
      <c r="T32" s="5"/>
      <c r="U32" s="6"/>
      <c r="V32" s="7"/>
      <c r="W32" s="5"/>
      <c r="X32" s="7"/>
      <c r="Y32" s="7"/>
      <c r="Z32" s="7"/>
      <c r="AA32" s="10"/>
      <c r="AB32" s="11"/>
      <c r="AC32" s="10"/>
      <c r="AD32" s="12"/>
      <c r="AE32" s="12"/>
      <c r="AF32" s="12"/>
      <c r="AG32" s="7"/>
      <c r="AH32" s="7"/>
      <c r="AI32" s="5" t="s">
        <v>171</v>
      </c>
    </row>
    <row r="33" customFormat="false" ht="15" hidden="false" customHeight="false" outlineLevel="0" collapsed="false">
      <c r="A33" s="5" t="s">
        <v>172</v>
      </c>
      <c r="B33" s="5" t="s">
        <v>173</v>
      </c>
      <c r="C33" s="5"/>
      <c r="D33" s="5" t="s">
        <v>172</v>
      </c>
      <c r="E33" s="5" t="s">
        <v>59</v>
      </c>
      <c r="F33" s="6" t="n">
        <v>28832.46</v>
      </c>
      <c r="G33" s="7" t="n">
        <v>1860</v>
      </c>
      <c r="H33" s="8" t="n">
        <v>-0.277</v>
      </c>
      <c r="I33" s="8" t="n">
        <v>-0.3643</v>
      </c>
      <c r="J33" s="7" t="n">
        <v>1379</v>
      </c>
      <c r="K33" s="5" t="n">
        <v>52</v>
      </c>
      <c r="L33" s="5" t="n">
        <v>67</v>
      </c>
      <c r="M33" s="5" t="n">
        <v>4.6</v>
      </c>
      <c r="N33" s="9" t="s">
        <v>53</v>
      </c>
      <c r="O33" s="5"/>
      <c r="P33" s="5" t="s">
        <v>174</v>
      </c>
      <c r="Q33" s="14" t="s">
        <v>175</v>
      </c>
      <c r="R33" s="7" t="n">
        <v>9091</v>
      </c>
      <c r="S33" s="7" t="n">
        <v>307</v>
      </c>
      <c r="T33" s="5" t="s">
        <v>68</v>
      </c>
      <c r="U33" s="6" t="n">
        <v>560773.91</v>
      </c>
      <c r="V33" s="7" t="n">
        <v>39376</v>
      </c>
      <c r="W33" s="5" t="n">
        <v>264</v>
      </c>
      <c r="X33" s="7" t="n">
        <v>2</v>
      </c>
      <c r="Y33" s="7" t="n">
        <v>30</v>
      </c>
      <c r="Z33" s="7" t="n">
        <v>453</v>
      </c>
      <c r="AA33" s="10" t="n">
        <v>0.99</v>
      </c>
      <c r="AB33" s="11" t="n">
        <v>482.09</v>
      </c>
      <c r="AC33" s="10" t="n">
        <v>12.27</v>
      </c>
      <c r="AD33" s="12" t="n">
        <v>0.86</v>
      </c>
      <c r="AE33" s="12" t="n">
        <v>1</v>
      </c>
      <c r="AF33" s="12" t="n">
        <v>0.75</v>
      </c>
      <c r="AG33" s="7" t="n">
        <v>42</v>
      </c>
      <c r="AH33" s="7" t="n">
        <v>1676</v>
      </c>
      <c r="AI33" s="5" t="s">
        <v>176</v>
      </c>
    </row>
    <row r="34" customFormat="false" ht="15" hidden="false" customHeight="false" outlineLevel="0" collapsed="false">
      <c r="A34" s="5" t="s">
        <v>172</v>
      </c>
      <c r="B34" s="5" t="s">
        <v>177</v>
      </c>
      <c r="C34" s="5" t="s">
        <v>178</v>
      </c>
      <c r="D34" s="5" t="s">
        <v>172</v>
      </c>
      <c r="E34" s="5" t="s">
        <v>59</v>
      </c>
      <c r="F34" s="6" t="n">
        <v>27136.58</v>
      </c>
      <c r="G34" s="7" t="n">
        <v>2745</v>
      </c>
      <c r="H34" s="8" t="n">
        <v>-0.3119</v>
      </c>
      <c r="I34" s="8" t="n">
        <v>-0.3517</v>
      </c>
      <c r="J34" s="7" t="n">
        <v>108</v>
      </c>
      <c r="K34" s="5" t="n">
        <v>15</v>
      </c>
      <c r="L34" s="5" t="n">
        <v>15</v>
      </c>
      <c r="M34" s="5" t="n">
        <v>4.9</v>
      </c>
      <c r="N34" s="9" t="s">
        <v>53</v>
      </c>
      <c r="O34" s="5"/>
      <c r="P34" s="5"/>
      <c r="Q34" s="5"/>
      <c r="R34" s="7"/>
      <c r="S34" s="7"/>
      <c r="T34" s="5"/>
      <c r="U34" s="6"/>
      <c r="V34" s="7"/>
      <c r="W34" s="5"/>
      <c r="X34" s="7"/>
      <c r="Y34" s="7"/>
      <c r="Z34" s="7"/>
      <c r="AA34" s="10"/>
      <c r="AB34" s="11"/>
      <c r="AC34" s="10"/>
      <c r="AD34" s="12"/>
      <c r="AE34" s="12"/>
      <c r="AF34" s="12"/>
      <c r="AG34" s="7"/>
      <c r="AH34" s="7"/>
      <c r="AI34" s="5" t="s">
        <v>179</v>
      </c>
    </row>
    <row r="35" customFormat="false" ht="15" hidden="false" customHeight="false" outlineLevel="0" collapsed="false">
      <c r="A35" s="5" t="s">
        <v>172</v>
      </c>
      <c r="B35" s="5" t="s">
        <v>180</v>
      </c>
      <c r="C35" s="5"/>
      <c r="D35" s="5" t="s">
        <v>172</v>
      </c>
      <c r="E35" s="5" t="s">
        <v>59</v>
      </c>
      <c r="F35" s="6" t="n">
        <v>26674.99</v>
      </c>
      <c r="G35" s="7" t="n">
        <v>269</v>
      </c>
      <c r="H35" s="8" t="n">
        <v>72.9349</v>
      </c>
      <c r="I35" s="8" t="n">
        <v>9.3462</v>
      </c>
      <c r="J35" s="7" t="n">
        <v>94</v>
      </c>
      <c r="K35" s="5" t="n">
        <v>20</v>
      </c>
      <c r="L35" s="5" t="n">
        <v>4</v>
      </c>
      <c r="M35" s="5" t="n">
        <v>4.3</v>
      </c>
      <c r="N35" s="9" t="s">
        <v>53</v>
      </c>
      <c r="O35" s="5"/>
      <c r="P35" s="5"/>
      <c r="Q35" s="5"/>
      <c r="R35" s="7"/>
      <c r="S35" s="7"/>
      <c r="T35" s="5"/>
      <c r="U35" s="6"/>
      <c r="V35" s="7"/>
      <c r="W35" s="5"/>
      <c r="X35" s="7"/>
      <c r="Y35" s="7"/>
      <c r="Z35" s="7"/>
      <c r="AA35" s="10"/>
      <c r="AB35" s="11"/>
      <c r="AC35" s="10"/>
      <c r="AD35" s="12"/>
      <c r="AE35" s="12"/>
      <c r="AF35" s="12"/>
      <c r="AG35" s="7"/>
      <c r="AH35" s="7"/>
      <c r="AI35" s="5" t="s">
        <v>181</v>
      </c>
    </row>
    <row r="36" customFormat="false" ht="15" hidden="false" customHeight="false" outlineLevel="0" collapsed="false">
      <c r="A36" s="5" t="s">
        <v>172</v>
      </c>
      <c r="B36" s="5" t="s">
        <v>182</v>
      </c>
      <c r="C36" s="5" t="s">
        <v>182</v>
      </c>
      <c r="D36" s="5" t="s">
        <v>172</v>
      </c>
      <c r="E36" s="5" t="s">
        <v>59</v>
      </c>
      <c r="F36" s="6" t="n">
        <v>25711.72</v>
      </c>
      <c r="G36" s="7" t="n">
        <v>462</v>
      </c>
      <c r="H36" s="8" t="n">
        <v>-0.0363</v>
      </c>
      <c r="I36" s="8" t="n">
        <v>-0.352</v>
      </c>
      <c r="J36" s="7" t="n">
        <v>239</v>
      </c>
      <c r="K36" s="5" t="n">
        <v>12</v>
      </c>
      <c r="L36" s="5" t="n">
        <v>21</v>
      </c>
      <c r="M36" s="5" t="n">
        <v>4.6</v>
      </c>
      <c r="N36" s="9" t="s">
        <v>53</v>
      </c>
      <c r="O36" s="5"/>
      <c r="P36" s="5"/>
      <c r="Q36" s="5"/>
      <c r="R36" s="7"/>
      <c r="S36" s="7"/>
      <c r="T36" s="5"/>
      <c r="U36" s="6"/>
      <c r="V36" s="7"/>
      <c r="W36" s="5"/>
      <c r="X36" s="7"/>
      <c r="Y36" s="7"/>
      <c r="Z36" s="7"/>
      <c r="AA36" s="10"/>
      <c r="AB36" s="11"/>
      <c r="AC36" s="10"/>
      <c r="AD36" s="12"/>
      <c r="AE36" s="12"/>
      <c r="AF36" s="12"/>
      <c r="AG36" s="7"/>
      <c r="AH36" s="7"/>
      <c r="AI36" s="5" t="s">
        <v>183</v>
      </c>
    </row>
    <row r="37" customFormat="false" ht="15" hidden="false" customHeight="false" outlineLevel="0" collapsed="false">
      <c r="A37" s="5" t="s">
        <v>172</v>
      </c>
      <c r="B37" s="5" t="s">
        <v>184</v>
      </c>
      <c r="C37" s="5"/>
      <c r="D37" s="5" t="s">
        <v>172</v>
      </c>
      <c r="E37" s="5" t="s">
        <v>59</v>
      </c>
      <c r="F37" s="6" t="n">
        <v>25181.99</v>
      </c>
      <c r="G37" s="7" t="n">
        <v>347</v>
      </c>
      <c r="H37" s="8" t="n">
        <v>-0.3614</v>
      </c>
      <c r="I37" s="8" t="n">
        <v>-0.0467</v>
      </c>
      <c r="J37" s="7" t="n">
        <v>126</v>
      </c>
      <c r="K37" s="5" t="n">
        <v>19</v>
      </c>
      <c r="L37" s="5" t="n">
        <v>13</v>
      </c>
      <c r="M37" s="5" t="n">
        <v>4.8</v>
      </c>
      <c r="N37" s="9" t="s">
        <v>53</v>
      </c>
      <c r="O37" s="5"/>
      <c r="P37" s="5"/>
      <c r="Q37" s="5"/>
      <c r="R37" s="7"/>
      <c r="S37" s="7"/>
      <c r="T37" s="5"/>
      <c r="U37" s="6"/>
      <c r="V37" s="7"/>
      <c r="W37" s="5"/>
      <c r="X37" s="7"/>
      <c r="Y37" s="7"/>
      <c r="Z37" s="7"/>
      <c r="AA37" s="10"/>
      <c r="AB37" s="11"/>
      <c r="AC37" s="10"/>
      <c r="AD37" s="12"/>
      <c r="AE37" s="12"/>
      <c r="AF37" s="12"/>
      <c r="AG37" s="7"/>
      <c r="AH37" s="7"/>
      <c r="AI37" s="5" t="s">
        <v>185</v>
      </c>
    </row>
    <row r="38" customFormat="false" ht="15" hidden="false" customHeight="false" outlineLevel="0" collapsed="false">
      <c r="A38" s="5" t="s">
        <v>172</v>
      </c>
      <c r="B38" s="5" t="s">
        <v>186</v>
      </c>
      <c r="C38" s="5" t="s">
        <v>186</v>
      </c>
      <c r="D38" s="5" t="s">
        <v>172</v>
      </c>
      <c r="E38" s="5" t="s">
        <v>59</v>
      </c>
      <c r="F38" s="6" t="n">
        <v>24750.47</v>
      </c>
      <c r="G38" s="7" t="n">
        <v>1441</v>
      </c>
      <c r="H38" s="8" t="n">
        <v>-0.3806</v>
      </c>
      <c r="I38" s="8" t="n">
        <v>-0.3184</v>
      </c>
      <c r="J38" s="7" t="n">
        <v>1987</v>
      </c>
      <c r="K38" s="5" t="n">
        <v>79</v>
      </c>
      <c r="L38" s="5" t="n">
        <v>146</v>
      </c>
      <c r="M38" s="5" t="n">
        <v>4.7</v>
      </c>
      <c r="N38" s="9" t="s">
        <v>53</v>
      </c>
      <c r="O38" s="5"/>
      <c r="P38" s="5" t="s">
        <v>187</v>
      </c>
      <c r="Q38" s="14" t="s">
        <v>188</v>
      </c>
      <c r="R38" s="7" t="n">
        <v>34625</v>
      </c>
      <c r="S38" s="7" t="n">
        <v>291</v>
      </c>
      <c r="T38" s="5" t="s">
        <v>189</v>
      </c>
      <c r="U38" s="6" t="n">
        <v>2625518.8</v>
      </c>
      <c r="V38" s="7" t="n">
        <v>187799</v>
      </c>
      <c r="W38" s="5" t="n">
        <v>550</v>
      </c>
      <c r="X38" s="7" t="n">
        <v>1</v>
      </c>
      <c r="Y38" s="7" t="n">
        <v>93</v>
      </c>
      <c r="Z38" s="7" t="n">
        <v>523</v>
      </c>
      <c r="AA38" s="10" t="n">
        <v>1</v>
      </c>
      <c r="AB38" s="11" t="n">
        <v>1369.99</v>
      </c>
      <c r="AC38" s="10" t="n">
        <v>25.41</v>
      </c>
      <c r="AD38" s="12" t="n">
        <v>0.92</v>
      </c>
      <c r="AE38" s="12" t="n">
        <v>1</v>
      </c>
      <c r="AF38" s="12" t="n">
        <v>1</v>
      </c>
      <c r="AG38" s="7" t="n">
        <v>41</v>
      </c>
      <c r="AH38" s="7" t="n">
        <v>1658</v>
      </c>
      <c r="AI38" s="5" t="s">
        <v>190</v>
      </c>
    </row>
    <row r="39" customFormat="false" ht="15" hidden="false" customHeight="false" outlineLevel="0" collapsed="false">
      <c r="A39" s="5" t="s">
        <v>172</v>
      </c>
      <c r="B39" s="5" t="s">
        <v>191</v>
      </c>
      <c r="C39" s="5" t="s">
        <v>191</v>
      </c>
      <c r="D39" s="5" t="s">
        <v>172</v>
      </c>
      <c r="E39" s="5" t="s">
        <v>59</v>
      </c>
      <c r="F39" s="6" t="n">
        <v>24071.35</v>
      </c>
      <c r="G39" s="7" t="n">
        <v>750</v>
      </c>
      <c r="H39" s="8" t="n">
        <v>0.7263</v>
      </c>
      <c r="I39" s="8" t="n">
        <v>0.4911</v>
      </c>
      <c r="J39" s="7" t="n">
        <v>32</v>
      </c>
      <c r="K39" s="5" t="n">
        <v>6</v>
      </c>
      <c r="L39" s="5" t="n">
        <v>20</v>
      </c>
      <c r="M39" s="5" t="n">
        <v>4.2</v>
      </c>
      <c r="N39" s="9" t="s">
        <v>53</v>
      </c>
      <c r="O39" s="5"/>
      <c r="P39" s="5"/>
      <c r="Q39" s="5"/>
      <c r="R39" s="7"/>
      <c r="S39" s="7"/>
      <c r="T39" s="5"/>
      <c r="U39" s="6"/>
      <c r="V39" s="7"/>
      <c r="W39" s="5"/>
      <c r="X39" s="7"/>
      <c r="Y39" s="7"/>
      <c r="Z39" s="7"/>
      <c r="AA39" s="10"/>
      <c r="AB39" s="11"/>
      <c r="AC39" s="10"/>
      <c r="AD39" s="12"/>
      <c r="AE39" s="12"/>
      <c r="AF39" s="12"/>
      <c r="AG39" s="7"/>
      <c r="AH39" s="7"/>
      <c r="AI39" s="5" t="s">
        <v>192</v>
      </c>
    </row>
    <row r="40" customFormat="false" ht="15" hidden="false" customHeight="false" outlineLevel="0" collapsed="false">
      <c r="A40" s="5" t="s">
        <v>172</v>
      </c>
      <c r="B40" s="5" t="s">
        <v>193</v>
      </c>
      <c r="C40" s="5"/>
      <c r="D40" s="5" t="s">
        <v>172</v>
      </c>
      <c r="E40" s="5" t="s">
        <v>59</v>
      </c>
      <c r="F40" s="6" t="n">
        <v>23801.37</v>
      </c>
      <c r="G40" s="7" t="n">
        <v>740</v>
      </c>
      <c r="H40" s="8" t="n">
        <v>8.9413</v>
      </c>
      <c r="I40" s="8" t="n">
        <v>5.0656</v>
      </c>
      <c r="J40" s="7" t="n">
        <v>259</v>
      </c>
      <c r="K40" s="5" t="n">
        <v>27</v>
      </c>
      <c r="L40" s="5" t="n">
        <v>46</v>
      </c>
      <c r="M40" s="5" t="n">
        <v>4.8</v>
      </c>
      <c r="N40" s="9" t="s">
        <v>53</v>
      </c>
      <c r="O40" s="5"/>
      <c r="P40" s="5"/>
      <c r="Q40" s="5"/>
      <c r="R40" s="7"/>
      <c r="S40" s="7"/>
      <c r="T40" s="5"/>
      <c r="U40" s="6"/>
      <c r="V40" s="7"/>
      <c r="W40" s="5"/>
      <c r="X40" s="7"/>
      <c r="Y40" s="7"/>
      <c r="Z40" s="7"/>
      <c r="AA40" s="10"/>
      <c r="AB40" s="11"/>
      <c r="AC40" s="10"/>
      <c r="AD40" s="12"/>
      <c r="AE40" s="12"/>
      <c r="AF40" s="12"/>
      <c r="AG40" s="7"/>
      <c r="AH40" s="7"/>
      <c r="AI40" s="5" t="s">
        <v>194</v>
      </c>
    </row>
    <row r="41" customFormat="false" ht="15" hidden="false" customHeight="false" outlineLevel="0" collapsed="false">
      <c r="A41" s="5" t="s">
        <v>172</v>
      </c>
      <c r="B41" s="5" t="s">
        <v>195</v>
      </c>
      <c r="C41" s="5"/>
      <c r="D41" s="5" t="s">
        <v>172</v>
      </c>
      <c r="E41" s="5" t="s">
        <v>59</v>
      </c>
      <c r="F41" s="6" t="n">
        <v>23257.54</v>
      </c>
      <c r="G41" s="7" t="n">
        <v>582</v>
      </c>
      <c r="H41" s="8" t="n">
        <v>0.25</v>
      </c>
      <c r="I41" s="8" t="n">
        <v>-0.251</v>
      </c>
      <c r="J41" s="7" t="n">
        <v>313</v>
      </c>
      <c r="K41" s="5" t="n">
        <v>27</v>
      </c>
      <c r="L41" s="5" t="n">
        <v>31</v>
      </c>
      <c r="M41" s="5" t="n">
        <v>4.5</v>
      </c>
      <c r="N41" s="9" t="s">
        <v>53</v>
      </c>
      <c r="O41" s="5" t="s">
        <v>136</v>
      </c>
      <c r="P41" s="5"/>
      <c r="Q41" s="5"/>
      <c r="R41" s="7"/>
      <c r="S41" s="7"/>
      <c r="T41" s="5" t="s">
        <v>196</v>
      </c>
      <c r="U41" s="6" t="n">
        <v>138486.49</v>
      </c>
      <c r="V41" s="7" t="n">
        <v>5372</v>
      </c>
      <c r="W41" s="5" t="n">
        <v>105</v>
      </c>
      <c r="X41" s="7" t="n">
        <v>10</v>
      </c>
      <c r="Y41" s="7" t="n">
        <v>37</v>
      </c>
      <c r="Z41" s="7" t="n">
        <v>33</v>
      </c>
      <c r="AA41" s="10" t="n">
        <v>1</v>
      </c>
      <c r="AB41" s="11" t="n">
        <v>2000</v>
      </c>
      <c r="AC41" s="10"/>
      <c r="AD41" s="12"/>
      <c r="AE41" s="12"/>
      <c r="AF41" s="12"/>
      <c r="AG41" s="7" t="n">
        <v>43</v>
      </c>
      <c r="AH41" s="7" t="n">
        <v>1701</v>
      </c>
      <c r="AI41" s="5" t="s">
        <v>197</v>
      </c>
    </row>
    <row r="42" customFormat="false" ht="15" hidden="false" customHeight="false" outlineLevel="0" collapsed="false">
      <c r="A42" s="5" t="s">
        <v>172</v>
      </c>
      <c r="B42" s="5" t="s">
        <v>198</v>
      </c>
      <c r="C42" s="5"/>
      <c r="D42" s="5" t="s">
        <v>172</v>
      </c>
      <c r="E42" s="5" t="s">
        <v>52</v>
      </c>
      <c r="F42" s="6" t="n">
        <v>23004.9</v>
      </c>
      <c r="G42" s="7" t="n">
        <v>510</v>
      </c>
      <c r="H42" s="8" t="n">
        <v>1.084</v>
      </c>
      <c r="I42" s="8" t="n">
        <v>-0.0377</v>
      </c>
      <c r="J42" s="7" t="n">
        <v>295</v>
      </c>
      <c r="K42" s="5" t="n">
        <v>28</v>
      </c>
      <c r="L42" s="5" t="n">
        <v>61</v>
      </c>
      <c r="M42" s="5" t="n">
        <v>3.5</v>
      </c>
      <c r="N42" s="9" t="s">
        <v>53</v>
      </c>
      <c r="O42" s="5"/>
      <c r="P42" s="5"/>
      <c r="Q42" s="5"/>
      <c r="R42" s="7"/>
      <c r="S42" s="7"/>
      <c r="T42" s="5"/>
      <c r="U42" s="6"/>
      <c r="V42" s="7"/>
      <c r="W42" s="5"/>
      <c r="X42" s="7"/>
      <c r="Y42" s="7"/>
      <c r="Z42" s="7"/>
      <c r="AA42" s="10"/>
      <c r="AB42" s="11"/>
      <c r="AC42" s="10"/>
      <c r="AD42" s="12"/>
      <c r="AE42" s="12"/>
      <c r="AF42" s="12"/>
      <c r="AG42" s="7"/>
      <c r="AH42" s="7"/>
      <c r="AI42" s="5" t="s">
        <v>199</v>
      </c>
    </row>
    <row r="43" customFormat="false" ht="15" hidden="false" customHeight="false" outlineLevel="0" collapsed="false">
      <c r="A43" s="5" t="s">
        <v>200</v>
      </c>
      <c r="B43" s="5" t="s">
        <v>201</v>
      </c>
      <c r="C43" s="5" t="s">
        <v>202</v>
      </c>
      <c r="D43" s="5" t="s">
        <v>200</v>
      </c>
      <c r="E43" s="5" t="s">
        <v>59</v>
      </c>
      <c r="F43" s="6" t="n">
        <v>28259.55</v>
      </c>
      <c r="G43" s="7" t="n">
        <v>865</v>
      </c>
      <c r="H43" s="8" t="n">
        <v>0.73</v>
      </c>
      <c r="I43" s="8" t="n">
        <v>0.5699</v>
      </c>
      <c r="J43" s="7" t="n">
        <v>53</v>
      </c>
      <c r="K43" s="5" t="n">
        <v>1</v>
      </c>
      <c r="L43" s="5" t="n">
        <v>1</v>
      </c>
      <c r="M43" s="5" t="n">
        <v>4</v>
      </c>
      <c r="N43" s="9" t="s">
        <v>53</v>
      </c>
      <c r="O43" s="5"/>
      <c r="P43" s="5" t="s">
        <v>203</v>
      </c>
      <c r="Q43" s="14" t="s">
        <v>204</v>
      </c>
      <c r="R43" s="7" t="n">
        <v>30647</v>
      </c>
      <c r="S43" s="7" t="n">
        <v>1867</v>
      </c>
      <c r="T43" s="5" t="s">
        <v>205</v>
      </c>
      <c r="U43" s="6" t="n">
        <v>148156.41</v>
      </c>
      <c r="V43" s="7" t="n">
        <v>6533</v>
      </c>
      <c r="W43" s="5" t="n">
        <v>2</v>
      </c>
      <c r="X43" s="7" t="n">
        <v>140</v>
      </c>
      <c r="Y43" s="7" t="n">
        <v>327</v>
      </c>
      <c r="Z43" s="7" t="n">
        <v>100</v>
      </c>
      <c r="AA43" s="10" t="n">
        <v>11.99</v>
      </c>
      <c r="AB43" s="11" t="n">
        <v>29</v>
      </c>
      <c r="AC43" s="10" t="n">
        <v>21.36</v>
      </c>
      <c r="AD43" s="12" t="n">
        <v>0.83</v>
      </c>
      <c r="AE43" s="12" t="n">
        <v>0.92</v>
      </c>
      <c r="AF43" s="12" t="n">
        <v>0.86</v>
      </c>
      <c r="AG43" s="7" t="n">
        <v>16</v>
      </c>
      <c r="AH43" s="7" t="n">
        <v>1685</v>
      </c>
      <c r="AI43" s="5" t="s">
        <v>206</v>
      </c>
    </row>
    <row r="44" customFormat="false" ht="15" hidden="false" customHeight="false" outlineLevel="0" collapsed="false">
      <c r="A44" s="5" t="s">
        <v>200</v>
      </c>
      <c r="B44" s="5" t="s">
        <v>207</v>
      </c>
      <c r="C44" s="5"/>
      <c r="D44" s="5" t="s">
        <v>208</v>
      </c>
      <c r="E44" s="5" t="s">
        <v>52</v>
      </c>
      <c r="F44" s="6" t="n">
        <v>26603.8</v>
      </c>
      <c r="G44" s="7" t="n">
        <v>565</v>
      </c>
      <c r="H44" s="8" t="n">
        <v>-0.3289</v>
      </c>
      <c r="I44" s="8" t="n">
        <v>-0.1812</v>
      </c>
      <c r="J44" s="7" t="n">
        <v>155</v>
      </c>
      <c r="K44" s="5" t="n">
        <v>4</v>
      </c>
      <c r="L44" s="5" t="n">
        <v>36</v>
      </c>
      <c r="M44" s="5" t="n">
        <v>4.8</v>
      </c>
      <c r="N44" s="13" t="s">
        <v>60</v>
      </c>
      <c r="O44" s="5"/>
      <c r="P44" s="5"/>
      <c r="Q44" s="5"/>
      <c r="R44" s="7"/>
      <c r="S44" s="7"/>
      <c r="T44" s="5"/>
      <c r="U44" s="6"/>
      <c r="V44" s="7"/>
      <c r="W44" s="5"/>
      <c r="X44" s="7"/>
      <c r="Y44" s="7"/>
      <c r="Z44" s="7"/>
      <c r="AA44" s="10"/>
      <c r="AB44" s="11"/>
      <c r="AC44" s="10"/>
      <c r="AD44" s="12"/>
      <c r="AE44" s="12"/>
      <c r="AF44" s="12"/>
      <c r="AG44" s="7"/>
      <c r="AH44" s="7"/>
      <c r="AI44" s="5" t="s">
        <v>209</v>
      </c>
    </row>
    <row r="45" customFormat="false" ht="15" hidden="false" customHeight="false" outlineLevel="0" collapsed="false">
      <c r="A45" s="5" t="s">
        <v>200</v>
      </c>
      <c r="B45" s="5" t="s">
        <v>210</v>
      </c>
      <c r="C45" s="5" t="s">
        <v>211</v>
      </c>
      <c r="D45" s="5" t="s">
        <v>200</v>
      </c>
      <c r="E45" s="5" t="s">
        <v>52</v>
      </c>
      <c r="F45" s="6" t="n">
        <v>26161.82</v>
      </c>
      <c r="G45" s="7" t="n">
        <v>11302</v>
      </c>
      <c r="H45" s="8" t="n">
        <v>1.2974</v>
      </c>
      <c r="I45" s="8" t="n">
        <v>1.4379</v>
      </c>
      <c r="J45" s="7" t="n">
        <v>243</v>
      </c>
      <c r="K45" s="5" t="n">
        <v>12</v>
      </c>
      <c r="L45" s="5" t="n">
        <v>31</v>
      </c>
      <c r="M45" s="5" t="n">
        <v>4.3</v>
      </c>
      <c r="N45" s="9" t="s">
        <v>53</v>
      </c>
      <c r="O45" s="5"/>
      <c r="P45" s="5"/>
      <c r="Q45" s="5"/>
      <c r="R45" s="7"/>
      <c r="S45" s="7"/>
      <c r="T45" s="5"/>
      <c r="U45" s="6"/>
      <c r="V45" s="7"/>
      <c r="W45" s="5"/>
      <c r="X45" s="7"/>
      <c r="Y45" s="7"/>
      <c r="Z45" s="7"/>
      <c r="AA45" s="10"/>
      <c r="AB45" s="11"/>
      <c r="AC45" s="10"/>
      <c r="AD45" s="12"/>
      <c r="AE45" s="12"/>
      <c r="AF45" s="12"/>
      <c r="AG45" s="7"/>
      <c r="AH45" s="7"/>
      <c r="AI45" s="5" t="s">
        <v>212</v>
      </c>
    </row>
    <row r="46" customFormat="false" ht="15" hidden="false" customHeight="false" outlineLevel="0" collapsed="false">
      <c r="A46" s="5" t="s">
        <v>200</v>
      </c>
      <c r="B46" s="5" t="s">
        <v>213</v>
      </c>
      <c r="C46" s="5" t="s">
        <v>214</v>
      </c>
      <c r="D46" s="5" t="s">
        <v>200</v>
      </c>
      <c r="E46" s="5" t="s">
        <v>52</v>
      </c>
      <c r="F46" s="6" t="n">
        <v>25422.88</v>
      </c>
      <c r="G46" s="7" t="n">
        <v>3066</v>
      </c>
      <c r="H46" s="8" t="n">
        <v>-0.0592</v>
      </c>
      <c r="I46" s="8" t="n">
        <v>-0.0886</v>
      </c>
      <c r="J46" s="7" t="n">
        <v>601</v>
      </c>
      <c r="K46" s="5" t="n">
        <v>36</v>
      </c>
      <c r="L46" s="5" t="n">
        <v>121</v>
      </c>
      <c r="M46" s="5" t="n">
        <v>4.8</v>
      </c>
      <c r="N46" s="9" t="s">
        <v>53</v>
      </c>
      <c r="O46" s="5"/>
      <c r="P46" s="5"/>
      <c r="Q46" s="5"/>
      <c r="R46" s="7"/>
      <c r="S46" s="7"/>
      <c r="T46" s="5"/>
      <c r="U46" s="6"/>
      <c r="V46" s="7"/>
      <c r="W46" s="5"/>
      <c r="X46" s="7"/>
      <c r="Y46" s="7"/>
      <c r="Z46" s="7"/>
      <c r="AA46" s="10"/>
      <c r="AB46" s="11"/>
      <c r="AC46" s="10"/>
      <c r="AD46" s="12"/>
      <c r="AE46" s="12"/>
      <c r="AF46" s="12"/>
      <c r="AG46" s="7"/>
      <c r="AH46" s="7"/>
      <c r="AI46" s="5" t="s">
        <v>215</v>
      </c>
    </row>
    <row r="47" customFormat="false" ht="15" hidden="false" customHeight="false" outlineLevel="0" collapsed="false">
      <c r="A47" s="5" t="s">
        <v>170</v>
      </c>
      <c r="B47" s="5" t="s">
        <v>216</v>
      </c>
      <c r="C47" s="5" t="s">
        <v>217</v>
      </c>
      <c r="D47" s="5" t="s">
        <v>170</v>
      </c>
      <c r="E47" s="5" t="s">
        <v>59</v>
      </c>
      <c r="F47" s="6" t="n">
        <v>19945.64</v>
      </c>
      <c r="G47" s="7" t="n">
        <v>1241</v>
      </c>
      <c r="H47" s="8" t="n">
        <v>-0.2176</v>
      </c>
      <c r="I47" s="8" t="n">
        <v>-0.252</v>
      </c>
      <c r="J47" s="7" t="n">
        <v>46</v>
      </c>
      <c r="K47" s="5" t="n">
        <v>31</v>
      </c>
      <c r="L47" s="5" t="n">
        <v>39</v>
      </c>
      <c r="M47" s="5" t="n">
        <v>4.4</v>
      </c>
      <c r="N47" s="9" t="s">
        <v>53</v>
      </c>
      <c r="O47" s="5"/>
      <c r="P47" s="5"/>
      <c r="Q47" s="5"/>
      <c r="R47" s="7"/>
      <c r="S47" s="7"/>
      <c r="T47" s="5"/>
      <c r="U47" s="6"/>
      <c r="V47" s="7"/>
      <c r="W47" s="5"/>
      <c r="X47" s="7"/>
      <c r="Y47" s="7"/>
      <c r="Z47" s="7"/>
      <c r="AA47" s="10"/>
      <c r="AB47" s="11"/>
      <c r="AC47" s="10"/>
      <c r="AD47" s="12"/>
      <c r="AE47" s="12"/>
      <c r="AF47" s="12"/>
      <c r="AG47" s="7"/>
      <c r="AH47" s="7"/>
      <c r="AI47" s="5" t="s">
        <v>218</v>
      </c>
    </row>
    <row r="48" customFormat="false" ht="15" hidden="false" customHeight="false" outlineLevel="0" collapsed="false">
      <c r="A48" s="5" t="s">
        <v>170</v>
      </c>
      <c r="B48" s="5" t="s">
        <v>219</v>
      </c>
      <c r="C48" s="5"/>
      <c r="D48" s="5" t="s">
        <v>170</v>
      </c>
      <c r="E48" s="5" t="s">
        <v>59</v>
      </c>
      <c r="F48" s="6" t="n">
        <v>19225.77</v>
      </c>
      <c r="G48" s="7" t="n">
        <v>955</v>
      </c>
      <c r="H48" s="8" t="n">
        <v>0</v>
      </c>
      <c r="I48" s="8" t="n">
        <v>0</v>
      </c>
      <c r="J48" s="7" t="n">
        <v>9</v>
      </c>
      <c r="K48" s="5" t="n">
        <v>12</v>
      </c>
      <c r="L48" s="5" t="n">
        <v>82</v>
      </c>
      <c r="M48" s="5" t="n">
        <v>4.1</v>
      </c>
      <c r="N48" s="9" t="s">
        <v>53</v>
      </c>
      <c r="O48" s="5"/>
      <c r="P48" s="5"/>
      <c r="Q48" s="5"/>
      <c r="R48" s="7"/>
      <c r="S48" s="7"/>
      <c r="T48" s="5"/>
      <c r="U48" s="6"/>
      <c r="V48" s="7"/>
      <c r="W48" s="5"/>
      <c r="X48" s="7"/>
      <c r="Y48" s="7"/>
      <c r="Z48" s="7"/>
      <c r="AA48" s="10"/>
      <c r="AB48" s="11"/>
      <c r="AC48" s="10"/>
      <c r="AD48" s="12"/>
      <c r="AE48" s="12"/>
      <c r="AF48" s="12"/>
      <c r="AG48" s="7"/>
      <c r="AH48" s="7"/>
      <c r="AI48" s="5" t="s">
        <v>220</v>
      </c>
    </row>
    <row r="49" customFormat="false" ht="15" hidden="false" customHeight="false" outlineLevel="0" collapsed="false">
      <c r="A49" s="5" t="s">
        <v>170</v>
      </c>
      <c r="B49" s="5" t="s">
        <v>221</v>
      </c>
      <c r="C49" s="5" t="s">
        <v>222</v>
      </c>
      <c r="D49" s="5" t="s">
        <v>170</v>
      </c>
      <c r="E49" s="5" t="s">
        <v>52</v>
      </c>
      <c r="F49" s="6" t="n">
        <v>18936.96</v>
      </c>
      <c r="G49" s="7" t="n">
        <v>1067</v>
      </c>
      <c r="H49" s="8" t="n">
        <v>-0.3001</v>
      </c>
      <c r="I49" s="8" t="n">
        <v>-0.3335</v>
      </c>
      <c r="J49" s="7" t="n">
        <v>180</v>
      </c>
      <c r="K49" s="5" t="n">
        <v>126</v>
      </c>
      <c r="L49" s="5" t="n">
        <v>887</v>
      </c>
      <c r="M49" s="5" t="n">
        <v>4.6</v>
      </c>
      <c r="N49" s="9" t="s">
        <v>53</v>
      </c>
      <c r="O49" s="5"/>
      <c r="P49" s="5"/>
      <c r="Q49" s="5"/>
      <c r="R49" s="7"/>
      <c r="S49" s="7"/>
      <c r="T49" s="5"/>
      <c r="U49" s="6"/>
      <c r="V49" s="7"/>
      <c r="W49" s="5"/>
      <c r="X49" s="7"/>
      <c r="Y49" s="7"/>
      <c r="Z49" s="7"/>
      <c r="AA49" s="10"/>
      <c r="AB49" s="11"/>
      <c r="AC49" s="10"/>
      <c r="AD49" s="12"/>
      <c r="AE49" s="12"/>
      <c r="AF49" s="12"/>
      <c r="AG49" s="7"/>
      <c r="AH49" s="7"/>
      <c r="AI49" s="5" t="s">
        <v>223</v>
      </c>
    </row>
    <row r="50" customFormat="false" ht="15" hidden="false" customHeight="false" outlineLevel="0" collapsed="false">
      <c r="A50" s="5" t="s">
        <v>170</v>
      </c>
      <c r="B50" s="5" t="s">
        <v>224</v>
      </c>
      <c r="C50" s="5" t="s">
        <v>225</v>
      </c>
      <c r="D50" s="5" t="s">
        <v>170</v>
      </c>
      <c r="E50" s="5" t="s">
        <v>59</v>
      </c>
      <c r="F50" s="6" t="n">
        <v>18717.89</v>
      </c>
      <c r="G50" s="7" t="n">
        <v>787</v>
      </c>
      <c r="H50" s="8" t="n">
        <v>0.1075</v>
      </c>
      <c r="I50" s="8" t="n">
        <v>0.009</v>
      </c>
      <c r="J50" s="7" t="n">
        <v>167</v>
      </c>
      <c r="K50" s="5" t="n">
        <v>67</v>
      </c>
      <c r="L50" s="5" t="n">
        <v>187</v>
      </c>
      <c r="M50" s="5" t="n">
        <v>4</v>
      </c>
      <c r="N50" s="9" t="s">
        <v>53</v>
      </c>
      <c r="O50" s="5"/>
      <c r="P50" s="5" t="s">
        <v>226</v>
      </c>
      <c r="Q50" s="14" t="s">
        <v>227</v>
      </c>
      <c r="R50" s="7" t="n">
        <v>1211</v>
      </c>
      <c r="S50" s="7" t="n">
        <v>56</v>
      </c>
      <c r="T50" s="5" t="s">
        <v>228</v>
      </c>
      <c r="U50" s="6" t="n">
        <v>298650.36</v>
      </c>
      <c r="V50" s="7" t="n">
        <v>18476</v>
      </c>
      <c r="W50" s="5" t="n">
        <v>621</v>
      </c>
      <c r="X50" s="7" t="n">
        <v>725</v>
      </c>
      <c r="Y50" s="7" t="n">
        <v>2981</v>
      </c>
      <c r="Z50" s="7" t="n">
        <v>307</v>
      </c>
      <c r="AA50" s="10" t="n">
        <v>1</v>
      </c>
      <c r="AB50" s="11" t="n">
        <v>1142</v>
      </c>
      <c r="AC50" s="10" t="n">
        <v>15.57</v>
      </c>
      <c r="AD50" s="12" t="n">
        <v>0.86</v>
      </c>
      <c r="AE50" s="12" t="n">
        <v>0.78</v>
      </c>
      <c r="AF50" s="12" t="n">
        <v>0.98</v>
      </c>
      <c r="AG50" s="7" t="n">
        <v>84</v>
      </c>
      <c r="AH50" s="7" t="n">
        <v>2302</v>
      </c>
      <c r="AI50" s="5" t="s">
        <v>229</v>
      </c>
    </row>
    <row r="51" customFormat="false" ht="15" hidden="false" customHeight="false" outlineLevel="0" collapsed="false">
      <c r="A51" s="5" t="s">
        <v>170</v>
      </c>
      <c r="B51" s="5" t="s">
        <v>230</v>
      </c>
      <c r="C51" s="5" t="s">
        <v>231</v>
      </c>
      <c r="D51" s="5" t="s">
        <v>170</v>
      </c>
      <c r="E51" s="5" t="s">
        <v>59</v>
      </c>
      <c r="F51" s="6" t="n">
        <v>18563.87</v>
      </c>
      <c r="G51" s="7" t="n">
        <v>536</v>
      </c>
      <c r="H51" s="8" t="n">
        <v>-0.2932</v>
      </c>
      <c r="I51" s="8" t="n">
        <v>-0.3596</v>
      </c>
      <c r="J51" s="7" t="n">
        <v>185</v>
      </c>
      <c r="K51" s="5" t="n">
        <v>16</v>
      </c>
      <c r="L51" s="5" t="n">
        <v>108</v>
      </c>
      <c r="M51" s="5" t="n">
        <v>4.6</v>
      </c>
      <c r="N51" s="9" t="s">
        <v>53</v>
      </c>
      <c r="O51" s="5"/>
      <c r="P51" s="5" t="s">
        <v>232</v>
      </c>
      <c r="Q51" s="14" t="s">
        <v>233</v>
      </c>
      <c r="R51" s="7" t="n">
        <v>3245</v>
      </c>
      <c r="S51" s="7" t="n">
        <v>1158</v>
      </c>
      <c r="T51" s="5" t="s">
        <v>234</v>
      </c>
      <c r="U51" s="6" t="n">
        <v>1478602.83</v>
      </c>
      <c r="V51" s="7" t="n">
        <v>82792</v>
      </c>
      <c r="W51" s="5" t="n">
        <v>328</v>
      </c>
      <c r="X51" s="7" t="n">
        <v>687</v>
      </c>
      <c r="Y51" s="7" t="n">
        <v>3847</v>
      </c>
      <c r="Z51" s="7" t="n">
        <v>949</v>
      </c>
      <c r="AA51" s="10" t="n">
        <v>1</v>
      </c>
      <c r="AB51" s="11" t="n">
        <v>586.8</v>
      </c>
      <c r="AC51" s="10" t="n">
        <v>19.17</v>
      </c>
      <c r="AD51" s="12" t="n">
        <v>0.65</v>
      </c>
      <c r="AE51" s="12" t="n">
        <v>0.84</v>
      </c>
      <c r="AF51" s="12" t="n">
        <v>1</v>
      </c>
      <c r="AG51" s="7" t="n">
        <v>64</v>
      </c>
      <c r="AH51" s="7" t="n">
        <v>1758</v>
      </c>
      <c r="AI51" s="5" t="s">
        <v>235</v>
      </c>
    </row>
    <row r="52" customFormat="false" ht="15" hidden="false" customHeight="false" outlineLevel="0" collapsed="false">
      <c r="A52" s="5" t="s">
        <v>170</v>
      </c>
      <c r="B52" s="5" t="s">
        <v>236</v>
      </c>
      <c r="C52" s="5"/>
      <c r="D52" s="5" t="s">
        <v>170</v>
      </c>
      <c r="E52" s="5" t="s">
        <v>59</v>
      </c>
      <c r="F52" s="6" t="n">
        <v>17787.03</v>
      </c>
      <c r="G52" s="7" t="n">
        <v>333</v>
      </c>
      <c r="H52" s="8" t="n">
        <v>-0.3644</v>
      </c>
      <c r="I52" s="8" t="n">
        <v>-0.4478</v>
      </c>
      <c r="J52" s="7" t="n">
        <v>36</v>
      </c>
      <c r="K52" s="5" t="n">
        <v>8</v>
      </c>
      <c r="L52" s="5" t="n">
        <v>16</v>
      </c>
      <c r="M52" s="5" t="n">
        <v>4.5</v>
      </c>
      <c r="N52" s="9" t="s">
        <v>53</v>
      </c>
      <c r="O52" s="5"/>
      <c r="P52" s="5"/>
      <c r="Q52" s="5"/>
      <c r="R52" s="7"/>
      <c r="S52" s="7"/>
      <c r="T52" s="5"/>
      <c r="U52" s="6"/>
      <c r="V52" s="7"/>
      <c r="W52" s="5"/>
      <c r="X52" s="7"/>
      <c r="Y52" s="7"/>
      <c r="Z52" s="7"/>
      <c r="AA52" s="10"/>
      <c r="AB52" s="11"/>
      <c r="AC52" s="10"/>
      <c r="AD52" s="12"/>
      <c r="AE52" s="12"/>
      <c r="AF52" s="12"/>
      <c r="AG52" s="7"/>
      <c r="AH52" s="7"/>
      <c r="AI52" s="5" t="s">
        <v>237</v>
      </c>
    </row>
    <row r="53" customFormat="false" ht="15" hidden="false" customHeight="false" outlineLevel="0" collapsed="false">
      <c r="A53" s="5" t="s">
        <v>170</v>
      </c>
      <c r="B53" s="5" t="s">
        <v>238</v>
      </c>
      <c r="C53" s="5" t="s">
        <v>239</v>
      </c>
      <c r="D53" s="5" t="s">
        <v>170</v>
      </c>
      <c r="E53" s="5" t="s">
        <v>52</v>
      </c>
      <c r="F53" s="6" t="n">
        <v>17581.6</v>
      </c>
      <c r="G53" s="7" t="n">
        <v>4659</v>
      </c>
      <c r="H53" s="8" t="n">
        <v>0.0763</v>
      </c>
      <c r="I53" s="8" t="n">
        <v>0.0733</v>
      </c>
      <c r="J53" s="7" t="n">
        <v>781</v>
      </c>
      <c r="K53" s="5" t="n">
        <v>221</v>
      </c>
      <c r="L53" s="5" t="n">
        <v>355</v>
      </c>
      <c r="M53" s="5" t="n">
        <v>4.9</v>
      </c>
      <c r="N53" s="9" t="s">
        <v>53</v>
      </c>
      <c r="O53" s="5"/>
      <c r="P53" s="5"/>
      <c r="Q53" s="5"/>
      <c r="R53" s="7"/>
      <c r="S53" s="7"/>
      <c r="T53" s="5"/>
      <c r="U53" s="6"/>
      <c r="V53" s="7"/>
      <c r="W53" s="5"/>
      <c r="X53" s="7"/>
      <c r="Y53" s="7"/>
      <c r="Z53" s="7"/>
      <c r="AA53" s="10"/>
      <c r="AB53" s="11"/>
      <c r="AC53" s="10"/>
      <c r="AD53" s="12"/>
      <c r="AE53" s="12"/>
      <c r="AF53" s="12"/>
      <c r="AG53" s="7"/>
      <c r="AH53" s="7"/>
      <c r="AI53" s="5" t="s">
        <v>240</v>
      </c>
    </row>
    <row r="54" customFormat="false" ht="15" hidden="false" customHeight="false" outlineLevel="0" collapsed="false">
      <c r="A54" s="5" t="s">
        <v>170</v>
      </c>
      <c r="B54" s="5" t="s">
        <v>241</v>
      </c>
      <c r="C54" s="5"/>
      <c r="D54" s="5" t="s">
        <v>170</v>
      </c>
      <c r="E54" s="5" t="s">
        <v>59</v>
      </c>
      <c r="F54" s="6" t="n">
        <v>17565.28</v>
      </c>
      <c r="G54" s="7" t="n">
        <v>530</v>
      </c>
      <c r="H54" s="8" t="n">
        <v>0</v>
      </c>
      <c r="I54" s="8" t="n">
        <v>0</v>
      </c>
      <c r="J54" s="7" t="n">
        <v>0</v>
      </c>
      <c r="K54" s="5" t="n">
        <v>1</v>
      </c>
      <c r="L54" s="5" t="n">
        <v>23</v>
      </c>
      <c r="M54" s="5" t="n">
        <v>4.4</v>
      </c>
      <c r="N54" s="9" t="s">
        <v>53</v>
      </c>
      <c r="O54" s="5"/>
      <c r="P54" s="5"/>
      <c r="Q54" s="5"/>
      <c r="R54" s="7"/>
      <c r="S54" s="7"/>
      <c r="T54" s="5"/>
      <c r="U54" s="6"/>
      <c r="V54" s="7"/>
      <c r="W54" s="5"/>
      <c r="X54" s="7"/>
      <c r="Y54" s="7"/>
      <c r="Z54" s="7"/>
      <c r="AA54" s="10"/>
      <c r="AB54" s="11"/>
      <c r="AC54" s="10"/>
      <c r="AD54" s="12"/>
      <c r="AE54" s="12"/>
      <c r="AF54" s="12"/>
      <c r="AG54" s="7"/>
      <c r="AH54" s="7"/>
      <c r="AI54" s="5" t="s">
        <v>242</v>
      </c>
    </row>
    <row r="55" customFormat="false" ht="15" hidden="false" customHeight="false" outlineLevel="0" collapsed="false">
      <c r="A55" s="5" t="s">
        <v>170</v>
      </c>
      <c r="B55" s="5" t="s">
        <v>243</v>
      </c>
      <c r="C55" s="5"/>
      <c r="D55" s="5" t="s">
        <v>170</v>
      </c>
      <c r="E55" s="5" t="s">
        <v>59</v>
      </c>
      <c r="F55" s="6" t="n">
        <v>17544.49</v>
      </c>
      <c r="G55" s="7" t="n">
        <v>705</v>
      </c>
      <c r="H55" s="8" t="n">
        <v>1.2846</v>
      </c>
      <c r="I55" s="8" t="n">
        <v>1.8893</v>
      </c>
      <c r="J55" s="7" t="n">
        <v>160</v>
      </c>
      <c r="K55" s="5" t="n">
        <v>24</v>
      </c>
      <c r="L55" s="5" t="n">
        <v>56</v>
      </c>
      <c r="M55" s="5" t="n">
        <v>3.4</v>
      </c>
      <c r="N55" s="9" t="s">
        <v>53</v>
      </c>
      <c r="O55" s="5" t="s">
        <v>136</v>
      </c>
      <c r="P55" s="5"/>
      <c r="Q55" s="5"/>
      <c r="R55" s="7"/>
      <c r="S55" s="7"/>
      <c r="T55" s="5" t="s">
        <v>244</v>
      </c>
      <c r="U55" s="6" t="n">
        <v>26247.09</v>
      </c>
      <c r="V55" s="7" t="n">
        <v>1199</v>
      </c>
      <c r="W55" s="5" t="n">
        <v>57</v>
      </c>
      <c r="X55" s="7" t="n">
        <v>77</v>
      </c>
      <c r="Y55" s="7" t="n">
        <v>95</v>
      </c>
      <c r="Z55" s="7" t="n">
        <v>143</v>
      </c>
      <c r="AA55" s="10" t="n">
        <v>7.99</v>
      </c>
      <c r="AB55" s="11" t="n">
        <v>43.49</v>
      </c>
      <c r="AC55" s="10"/>
      <c r="AD55" s="12"/>
      <c r="AE55" s="12"/>
      <c r="AF55" s="12"/>
      <c r="AG55" s="7" t="n">
        <v>86</v>
      </c>
      <c r="AH55" s="7" t="n">
        <v>2345</v>
      </c>
      <c r="AI55" s="5" t="s">
        <v>245</v>
      </c>
    </row>
    <row r="56" customFormat="false" ht="15" hidden="false" customHeight="false" outlineLevel="0" collapsed="false">
      <c r="A56" s="5" t="s">
        <v>170</v>
      </c>
      <c r="B56" s="5" t="s">
        <v>246</v>
      </c>
      <c r="C56" s="5"/>
      <c r="D56" s="5" t="s">
        <v>170</v>
      </c>
      <c r="E56" s="5" t="s">
        <v>59</v>
      </c>
      <c r="F56" s="6" t="n">
        <v>17429.34</v>
      </c>
      <c r="G56" s="7" t="n">
        <v>1014</v>
      </c>
      <c r="H56" s="8" t="n">
        <v>0</v>
      </c>
      <c r="I56" s="8" t="n">
        <v>0</v>
      </c>
      <c r="J56" s="7" t="n">
        <v>18</v>
      </c>
      <c r="K56" s="5" t="n">
        <v>24</v>
      </c>
      <c r="L56" s="5" t="n">
        <v>43</v>
      </c>
      <c r="M56" s="5" t="n">
        <v>4</v>
      </c>
      <c r="N56" s="9" t="s">
        <v>53</v>
      </c>
      <c r="O56" s="5"/>
      <c r="P56" s="5"/>
      <c r="Q56" s="5"/>
      <c r="R56" s="7"/>
      <c r="S56" s="7"/>
      <c r="T56" s="5"/>
      <c r="U56" s="6"/>
      <c r="V56" s="7"/>
      <c r="W56" s="5"/>
      <c r="X56" s="7"/>
      <c r="Y56" s="7"/>
      <c r="Z56" s="7"/>
      <c r="AA56" s="10"/>
      <c r="AB56" s="11"/>
      <c r="AC56" s="10"/>
      <c r="AD56" s="12"/>
      <c r="AE56" s="12"/>
      <c r="AF56" s="12"/>
      <c r="AG56" s="7"/>
      <c r="AH56" s="7"/>
      <c r="AI56" s="5" t="s">
        <v>247</v>
      </c>
    </row>
    <row r="57" customFormat="false" ht="15" hidden="false" customHeight="false" outlineLevel="0" collapsed="false">
      <c r="A57" s="5" t="s">
        <v>248</v>
      </c>
      <c r="B57" s="5" t="s">
        <v>249</v>
      </c>
      <c r="C57" s="5" t="s">
        <v>250</v>
      </c>
      <c r="D57" s="5" t="s">
        <v>248</v>
      </c>
      <c r="E57" s="5" t="s">
        <v>59</v>
      </c>
      <c r="F57" s="6" t="n">
        <v>19690.8</v>
      </c>
      <c r="G57" s="7" t="n">
        <v>987</v>
      </c>
      <c r="H57" s="8" t="n">
        <v>0.9527</v>
      </c>
      <c r="I57" s="8" t="n">
        <v>0.1358</v>
      </c>
      <c r="J57" s="7" t="n">
        <v>267</v>
      </c>
      <c r="K57" s="5" t="n">
        <v>27</v>
      </c>
      <c r="L57" s="5" t="n">
        <v>30</v>
      </c>
      <c r="M57" s="5" t="n">
        <v>4.4</v>
      </c>
      <c r="N57" s="9" t="s">
        <v>53</v>
      </c>
      <c r="O57" s="5"/>
      <c r="P57" s="5"/>
      <c r="Q57" s="5"/>
      <c r="R57" s="7"/>
      <c r="S57" s="7"/>
      <c r="T57" s="5"/>
      <c r="U57" s="6"/>
      <c r="V57" s="7"/>
      <c r="W57" s="5"/>
      <c r="X57" s="7"/>
      <c r="Y57" s="7"/>
      <c r="Z57" s="7"/>
      <c r="AA57" s="10"/>
      <c r="AB57" s="11"/>
      <c r="AC57" s="10"/>
      <c r="AD57" s="12"/>
      <c r="AE57" s="12"/>
      <c r="AF57" s="12"/>
      <c r="AG57" s="7"/>
      <c r="AH57" s="7"/>
      <c r="AI57" s="5" t="s">
        <v>251</v>
      </c>
    </row>
    <row r="58" customFormat="false" ht="15" hidden="false" customHeight="false" outlineLevel="0" collapsed="false">
      <c r="A58" s="5" t="s">
        <v>248</v>
      </c>
      <c r="B58" s="5" t="s">
        <v>252</v>
      </c>
      <c r="C58" s="5" t="s">
        <v>253</v>
      </c>
      <c r="D58" s="5" t="s">
        <v>248</v>
      </c>
      <c r="E58" s="5" t="s">
        <v>59</v>
      </c>
      <c r="F58" s="6" t="n">
        <v>18618.2</v>
      </c>
      <c r="G58" s="7" t="n">
        <v>1053</v>
      </c>
      <c r="H58" s="8" t="n">
        <v>-0.0853</v>
      </c>
      <c r="I58" s="8" t="n">
        <v>-0.0565</v>
      </c>
      <c r="J58" s="7" t="n">
        <v>123</v>
      </c>
      <c r="K58" s="5" t="n">
        <v>170</v>
      </c>
      <c r="L58" s="5" t="n">
        <v>571</v>
      </c>
      <c r="M58" s="5" t="n">
        <v>4.2</v>
      </c>
      <c r="N58" s="9" t="s">
        <v>53</v>
      </c>
      <c r="O58" s="5"/>
      <c r="P58" s="5"/>
      <c r="Q58" s="5"/>
      <c r="R58" s="7"/>
      <c r="S58" s="7"/>
      <c r="T58" s="5"/>
      <c r="U58" s="6"/>
      <c r="V58" s="7"/>
      <c r="W58" s="5"/>
      <c r="X58" s="7"/>
      <c r="Y58" s="7"/>
      <c r="Z58" s="7"/>
      <c r="AA58" s="10"/>
      <c r="AB58" s="11"/>
      <c r="AC58" s="10"/>
      <c r="AD58" s="12"/>
      <c r="AE58" s="12"/>
      <c r="AF58" s="12"/>
      <c r="AG58" s="7"/>
      <c r="AH58" s="7"/>
      <c r="AI58" s="5" t="s">
        <v>254</v>
      </c>
    </row>
    <row r="59" customFormat="false" ht="15" hidden="false" customHeight="false" outlineLevel="0" collapsed="false">
      <c r="A59" s="5" t="s">
        <v>248</v>
      </c>
      <c r="B59" s="5" t="s">
        <v>255</v>
      </c>
      <c r="C59" s="5" t="s">
        <v>255</v>
      </c>
      <c r="D59" s="5" t="s">
        <v>248</v>
      </c>
      <c r="E59" s="5" t="s">
        <v>59</v>
      </c>
      <c r="F59" s="6" t="n">
        <v>18609.88</v>
      </c>
      <c r="G59" s="7" t="n">
        <v>1764</v>
      </c>
      <c r="H59" s="8" t="n">
        <v>0.5455</v>
      </c>
      <c r="I59" s="8" t="n">
        <v>0.1179</v>
      </c>
      <c r="J59" s="7" t="n">
        <v>38</v>
      </c>
      <c r="K59" s="5" t="n">
        <v>31</v>
      </c>
      <c r="L59" s="5" t="n">
        <v>99</v>
      </c>
      <c r="M59" s="5" t="n">
        <v>3.4</v>
      </c>
      <c r="N59" s="9" t="s">
        <v>53</v>
      </c>
      <c r="O59" s="5"/>
      <c r="P59" s="5"/>
      <c r="Q59" s="5"/>
      <c r="R59" s="7"/>
      <c r="S59" s="7"/>
      <c r="T59" s="5"/>
      <c r="U59" s="6"/>
      <c r="V59" s="7"/>
      <c r="W59" s="5"/>
      <c r="X59" s="7"/>
      <c r="Y59" s="7"/>
      <c r="Z59" s="7"/>
      <c r="AA59" s="10"/>
      <c r="AB59" s="11"/>
      <c r="AC59" s="10"/>
      <c r="AD59" s="12"/>
      <c r="AE59" s="12"/>
      <c r="AF59" s="12"/>
      <c r="AG59" s="7"/>
      <c r="AH59" s="7"/>
      <c r="AI59" s="5" t="s">
        <v>256</v>
      </c>
    </row>
    <row r="60" customFormat="false" ht="15" hidden="false" customHeight="false" outlineLevel="0" collapsed="false">
      <c r="A60" s="5" t="s">
        <v>248</v>
      </c>
      <c r="B60" s="5" t="s">
        <v>257</v>
      </c>
      <c r="C60" s="5"/>
      <c r="D60" s="5" t="s">
        <v>248</v>
      </c>
      <c r="E60" s="5" t="s">
        <v>59</v>
      </c>
      <c r="F60" s="6" t="n">
        <v>18428.9</v>
      </c>
      <c r="G60" s="7" t="n">
        <v>646</v>
      </c>
      <c r="H60" s="8" t="n">
        <v>-0.347</v>
      </c>
      <c r="I60" s="8" t="n">
        <v>-0.3448</v>
      </c>
      <c r="J60" s="7" t="n">
        <v>469</v>
      </c>
      <c r="K60" s="5" t="n">
        <v>6</v>
      </c>
      <c r="L60" s="5" t="n">
        <v>6</v>
      </c>
      <c r="M60" s="5" t="n">
        <v>4.6</v>
      </c>
      <c r="N60" s="9" t="s">
        <v>53</v>
      </c>
      <c r="O60" s="5"/>
      <c r="P60" s="5" t="s">
        <v>258</v>
      </c>
      <c r="Q60" s="14" t="s">
        <v>259</v>
      </c>
      <c r="R60" s="7" t="n">
        <v>1117</v>
      </c>
      <c r="S60" s="7" t="n">
        <v>82</v>
      </c>
      <c r="T60" s="5" t="s">
        <v>260</v>
      </c>
      <c r="U60" s="6" t="n">
        <v>99720.45</v>
      </c>
      <c r="V60" s="7" t="n">
        <v>4191</v>
      </c>
      <c r="W60" s="5" t="n">
        <v>6</v>
      </c>
      <c r="X60" s="7" t="n">
        <v>1026</v>
      </c>
      <c r="Y60" s="7" t="n">
        <v>1948</v>
      </c>
      <c r="Z60" s="7" t="n">
        <v>121</v>
      </c>
      <c r="AA60" s="10" t="n">
        <v>9.49</v>
      </c>
      <c r="AB60" s="11" t="n">
        <v>64.94</v>
      </c>
      <c r="AC60" s="10"/>
      <c r="AD60" s="12"/>
      <c r="AE60" s="12"/>
      <c r="AF60" s="12"/>
      <c r="AG60" s="7" t="n">
        <v>94</v>
      </c>
      <c r="AH60" s="7" t="n">
        <v>2395</v>
      </c>
      <c r="AI60" s="5" t="s">
        <v>261</v>
      </c>
    </row>
    <row r="61" customFormat="false" ht="15" hidden="false" customHeight="false" outlineLevel="0" collapsed="false">
      <c r="A61" s="5" t="s">
        <v>248</v>
      </c>
      <c r="B61" s="5" t="s">
        <v>262</v>
      </c>
      <c r="C61" s="5" t="s">
        <v>262</v>
      </c>
      <c r="D61" s="5" t="s">
        <v>248</v>
      </c>
      <c r="E61" s="5" t="s">
        <v>59</v>
      </c>
      <c r="F61" s="6" t="n">
        <v>18357.25</v>
      </c>
      <c r="G61" s="7" t="n">
        <v>2361</v>
      </c>
      <c r="H61" s="8" t="n">
        <v>0.0944</v>
      </c>
      <c r="I61" s="8" t="n">
        <v>-0.1522</v>
      </c>
      <c r="J61" s="7" t="n">
        <v>2513</v>
      </c>
      <c r="K61" s="5" t="n">
        <v>95</v>
      </c>
      <c r="L61" s="5" t="n">
        <v>87</v>
      </c>
      <c r="M61" s="5" t="n">
        <v>4.3</v>
      </c>
      <c r="N61" s="9" t="s">
        <v>53</v>
      </c>
      <c r="O61" s="5"/>
      <c r="P61" s="5" t="s">
        <v>263</v>
      </c>
      <c r="Q61" s="14" t="s">
        <v>264</v>
      </c>
      <c r="R61" s="7" t="n">
        <v>71198</v>
      </c>
      <c r="S61" s="7" t="n">
        <v>711</v>
      </c>
      <c r="T61" s="5" t="s">
        <v>265</v>
      </c>
      <c r="U61" s="6" t="n">
        <v>553917.88</v>
      </c>
      <c r="V61" s="7" t="n">
        <v>123469</v>
      </c>
      <c r="W61" s="5" t="n">
        <v>162</v>
      </c>
      <c r="X61" s="7" t="n">
        <v>708</v>
      </c>
      <c r="Y61" s="7" t="n">
        <v>2801</v>
      </c>
      <c r="Z61" s="7" t="n">
        <v>1401</v>
      </c>
      <c r="AA61" s="10" t="n">
        <v>1</v>
      </c>
      <c r="AB61" s="11" t="n">
        <v>129.99</v>
      </c>
      <c r="AC61" s="10" t="n">
        <v>6.2</v>
      </c>
      <c r="AD61" s="12" t="n">
        <v>0.87</v>
      </c>
      <c r="AE61" s="12" t="n">
        <v>0.9</v>
      </c>
      <c r="AF61" s="12" t="n">
        <v>0.98</v>
      </c>
      <c r="AG61" s="7" t="n">
        <v>95</v>
      </c>
      <c r="AH61" s="7" t="n">
        <v>2398</v>
      </c>
      <c r="AI61" s="5" t="s">
        <v>266</v>
      </c>
    </row>
    <row r="62" customFormat="false" ht="15" hidden="false" customHeight="false" outlineLevel="0" collapsed="false">
      <c r="A62" s="5" t="s">
        <v>248</v>
      </c>
      <c r="B62" s="5" t="s">
        <v>267</v>
      </c>
      <c r="C62" s="5" t="s">
        <v>268</v>
      </c>
      <c r="D62" s="5" t="s">
        <v>248</v>
      </c>
      <c r="E62" s="5" t="s">
        <v>59</v>
      </c>
      <c r="F62" s="6" t="n">
        <v>18035.73</v>
      </c>
      <c r="G62" s="7" t="n">
        <v>1375</v>
      </c>
      <c r="H62" s="8" t="n">
        <v>0.8729</v>
      </c>
      <c r="I62" s="8" t="n">
        <v>0.3903</v>
      </c>
      <c r="J62" s="7" t="n">
        <v>75</v>
      </c>
      <c r="K62" s="5" t="n">
        <v>98</v>
      </c>
      <c r="L62" s="5" t="n">
        <v>139</v>
      </c>
      <c r="M62" s="5" t="n">
        <v>4.3</v>
      </c>
      <c r="N62" s="9" t="s">
        <v>53</v>
      </c>
      <c r="O62" s="5"/>
      <c r="P62" s="5"/>
      <c r="Q62" s="5"/>
      <c r="R62" s="7"/>
      <c r="S62" s="7"/>
      <c r="T62" s="5"/>
      <c r="U62" s="6"/>
      <c r="V62" s="7"/>
      <c r="W62" s="5"/>
      <c r="X62" s="7"/>
      <c r="Y62" s="7"/>
      <c r="Z62" s="7"/>
      <c r="AA62" s="10"/>
      <c r="AB62" s="11"/>
      <c r="AC62" s="10"/>
      <c r="AD62" s="12"/>
      <c r="AE62" s="12"/>
      <c r="AF62" s="12"/>
      <c r="AG62" s="7"/>
      <c r="AH62" s="7"/>
      <c r="AI62" s="5" t="s">
        <v>269</v>
      </c>
    </row>
    <row r="63" customFormat="false" ht="15" hidden="false" customHeight="false" outlineLevel="0" collapsed="false">
      <c r="A63" s="5" t="s">
        <v>248</v>
      </c>
      <c r="B63" s="5" t="s">
        <v>270</v>
      </c>
      <c r="C63" s="5" t="s">
        <v>271</v>
      </c>
      <c r="D63" s="5" t="s">
        <v>248</v>
      </c>
      <c r="E63" s="5" t="s">
        <v>59</v>
      </c>
      <c r="F63" s="6" t="n">
        <v>17929.26</v>
      </c>
      <c r="G63" s="7" t="n">
        <v>6911</v>
      </c>
      <c r="H63" s="8" t="n">
        <v>0.0974</v>
      </c>
      <c r="I63" s="8" t="n">
        <v>0.1916</v>
      </c>
      <c r="J63" s="7" t="n">
        <v>54</v>
      </c>
      <c r="K63" s="5" t="n">
        <v>578</v>
      </c>
      <c r="L63" s="5" t="n">
        <v>890</v>
      </c>
      <c r="M63" s="5" t="n">
        <v>3.6</v>
      </c>
      <c r="N63" s="9" t="s">
        <v>53</v>
      </c>
      <c r="O63" s="5"/>
      <c r="P63" s="5"/>
      <c r="Q63" s="5"/>
      <c r="R63" s="7"/>
      <c r="S63" s="7"/>
      <c r="T63" s="5"/>
      <c r="U63" s="6"/>
      <c r="V63" s="7"/>
      <c r="W63" s="5"/>
      <c r="X63" s="7"/>
      <c r="Y63" s="7"/>
      <c r="Z63" s="7"/>
      <c r="AA63" s="10"/>
      <c r="AB63" s="11"/>
      <c r="AC63" s="10"/>
      <c r="AD63" s="12"/>
      <c r="AE63" s="12"/>
      <c r="AF63" s="12"/>
      <c r="AG63" s="7"/>
      <c r="AH63" s="7"/>
      <c r="AI63" s="5" t="s">
        <v>272</v>
      </c>
    </row>
    <row r="64" customFormat="false" ht="15" hidden="false" customHeight="false" outlineLevel="0" collapsed="false">
      <c r="A64" s="5" t="s">
        <v>248</v>
      </c>
      <c r="B64" s="5" t="s">
        <v>273</v>
      </c>
      <c r="C64" s="5" t="s">
        <v>274</v>
      </c>
      <c r="D64" s="5" t="s">
        <v>248</v>
      </c>
      <c r="E64" s="5" t="s">
        <v>59</v>
      </c>
      <c r="F64" s="6" t="n">
        <v>17905.25</v>
      </c>
      <c r="G64" s="7" t="n">
        <v>575</v>
      </c>
      <c r="H64" s="8" t="n">
        <v>0.1574</v>
      </c>
      <c r="I64" s="8" t="n">
        <v>0.0628</v>
      </c>
      <c r="J64" s="7" t="n">
        <v>196</v>
      </c>
      <c r="K64" s="5" t="n">
        <v>9</v>
      </c>
      <c r="L64" s="5" t="n">
        <v>27</v>
      </c>
      <c r="M64" s="5" t="n">
        <v>4.5</v>
      </c>
      <c r="N64" s="9" t="s">
        <v>53</v>
      </c>
      <c r="O64" s="5"/>
      <c r="P64" s="5"/>
      <c r="Q64" s="5"/>
      <c r="R64" s="7"/>
      <c r="S64" s="7"/>
      <c r="T64" s="5"/>
      <c r="U64" s="6"/>
      <c r="V64" s="7"/>
      <c r="W64" s="5"/>
      <c r="X64" s="7"/>
      <c r="Y64" s="7"/>
      <c r="Z64" s="7"/>
      <c r="AA64" s="10"/>
      <c r="AB64" s="11"/>
      <c r="AC64" s="10"/>
      <c r="AD64" s="12"/>
      <c r="AE64" s="12"/>
      <c r="AF64" s="12"/>
      <c r="AG64" s="7"/>
      <c r="AH64" s="7"/>
      <c r="AI64" s="5" t="s">
        <v>275</v>
      </c>
    </row>
    <row r="65" customFormat="false" ht="15" hidden="false" customHeight="false" outlineLevel="0" collapsed="false">
      <c r="A65" s="5" t="s">
        <v>248</v>
      </c>
      <c r="B65" s="5" t="s">
        <v>276</v>
      </c>
      <c r="C65" s="5" t="s">
        <v>277</v>
      </c>
      <c r="D65" s="5" t="s">
        <v>248</v>
      </c>
      <c r="E65" s="5" t="s">
        <v>59</v>
      </c>
      <c r="F65" s="6" t="n">
        <v>17851.02</v>
      </c>
      <c r="G65" s="7" t="n">
        <v>817</v>
      </c>
      <c r="H65" s="8" t="n">
        <v>7.3345</v>
      </c>
      <c r="I65" s="8" t="n">
        <v>5.2846</v>
      </c>
      <c r="J65" s="7" t="n">
        <v>1872</v>
      </c>
      <c r="K65" s="5" t="n">
        <v>40</v>
      </c>
      <c r="L65" s="5" t="n">
        <v>110</v>
      </c>
      <c r="M65" s="5" t="n">
        <v>3.6</v>
      </c>
      <c r="N65" s="9" t="s">
        <v>53</v>
      </c>
      <c r="O65" s="5"/>
      <c r="P65" s="5" t="s">
        <v>278</v>
      </c>
      <c r="Q65" s="14" t="s">
        <v>279</v>
      </c>
      <c r="R65" s="7" t="n">
        <v>16804</v>
      </c>
      <c r="S65" s="7" t="n">
        <v>206</v>
      </c>
      <c r="T65" s="5" t="s">
        <v>280</v>
      </c>
      <c r="U65" s="6" t="n">
        <v>71261.34</v>
      </c>
      <c r="V65" s="7" t="n">
        <v>4038</v>
      </c>
      <c r="W65" s="5" t="n">
        <v>152</v>
      </c>
      <c r="X65" s="7" t="n">
        <v>19</v>
      </c>
      <c r="Y65" s="7" t="n">
        <v>92</v>
      </c>
      <c r="Z65" s="7" t="n">
        <v>179</v>
      </c>
      <c r="AA65" s="10" t="n">
        <v>1.4</v>
      </c>
      <c r="AB65" s="11" t="n">
        <v>99.99</v>
      </c>
      <c r="AC65" s="10" t="n">
        <v>19.62</v>
      </c>
      <c r="AD65" s="12" t="n">
        <v>0.78</v>
      </c>
      <c r="AE65" s="12" t="n">
        <v>0.79</v>
      </c>
      <c r="AF65" s="12" t="n">
        <v>0.97</v>
      </c>
      <c r="AG65" s="7" t="n">
        <v>92</v>
      </c>
      <c r="AH65" s="7" t="n">
        <v>2321</v>
      </c>
      <c r="AI65" s="5" t="s">
        <v>281</v>
      </c>
    </row>
    <row r="66" customFormat="false" ht="15" hidden="false" customHeight="false" outlineLevel="0" collapsed="false">
      <c r="A66" s="5" t="s">
        <v>248</v>
      </c>
      <c r="B66" s="5" t="s">
        <v>282</v>
      </c>
      <c r="C66" s="5"/>
      <c r="D66" s="5" t="s">
        <v>248</v>
      </c>
      <c r="E66" s="5" t="s">
        <v>59</v>
      </c>
      <c r="F66" s="6" t="n">
        <v>17716.69</v>
      </c>
      <c r="G66" s="7" t="n">
        <v>657</v>
      </c>
      <c r="H66" s="8" t="n">
        <v>2.3478</v>
      </c>
      <c r="I66" s="8" t="n">
        <v>1.3548</v>
      </c>
      <c r="J66" s="7" t="n">
        <v>199</v>
      </c>
      <c r="K66" s="5" t="n">
        <v>14</v>
      </c>
      <c r="L66" s="5" t="n">
        <v>429</v>
      </c>
      <c r="M66" s="5" t="n">
        <v>4.4</v>
      </c>
      <c r="N66" s="9" t="s">
        <v>53</v>
      </c>
      <c r="O66" s="5"/>
      <c r="P66" s="5"/>
      <c r="Q66" s="5"/>
      <c r="R66" s="7"/>
      <c r="S66" s="7"/>
      <c r="T66" s="5"/>
      <c r="U66" s="6"/>
      <c r="V66" s="7"/>
      <c r="W66" s="5"/>
      <c r="X66" s="7"/>
      <c r="Y66" s="7"/>
      <c r="Z66" s="7"/>
      <c r="AA66" s="10"/>
      <c r="AB66" s="11"/>
      <c r="AC66" s="10"/>
      <c r="AD66" s="12"/>
      <c r="AE66" s="12"/>
      <c r="AF66" s="12"/>
      <c r="AG66" s="7"/>
      <c r="AH66" s="7"/>
      <c r="AI66" s="5" t="s">
        <v>283</v>
      </c>
    </row>
    <row r="67" customFormat="false" ht="15" hidden="false" customHeight="false" outlineLevel="0" collapsed="false">
      <c r="A67" s="5" t="s">
        <v>284</v>
      </c>
      <c r="B67" s="5" t="s">
        <v>285</v>
      </c>
      <c r="C67" s="5"/>
      <c r="D67" s="5" t="s">
        <v>284</v>
      </c>
      <c r="E67" s="5" t="s">
        <v>59</v>
      </c>
      <c r="F67" s="6" t="n">
        <v>17051.44</v>
      </c>
      <c r="G67" s="7" t="n">
        <v>620</v>
      </c>
      <c r="H67" s="8" t="n">
        <v>1.6307</v>
      </c>
      <c r="I67" s="8" t="n">
        <v>1.3485</v>
      </c>
      <c r="J67" s="7" t="n">
        <v>53</v>
      </c>
      <c r="K67" s="5" t="n">
        <v>1</v>
      </c>
      <c r="L67" s="5" t="n">
        <v>1</v>
      </c>
      <c r="M67" s="5" t="n">
        <v>4.5</v>
      </c>
      <c r="N67" s="9" t="s">
        <v>53</v>
      </c>
      <c r="O67" s="5"/>
      <c r="P67" s="5"/>
      <c r="Q67" s="5"/>
      <c r="R67" s="7"/>
      <c r="S67" s="7"/>
      <c r="T67" s="5"/>
      <c r="U67" s="6"/>
      <c r="V67" s="7"/>
      <c r="W67" s="5"/>
      <c r="X67" s="7"/>
      <c r="Y67" s="7"/>
      <c r="Z67" s="7"/>
      <c r="AA67" s="10"/>
      <c r="AB67" s="11"/>
      <c r="AC67" s="10"/>
      <c r="AD67" s="12"/>
      <c r="AE67" s="12"/>
      <c r="AF67" s="12"/>
      <c r="AG67" s="7"/>
      <c r="AH67" s="7"/>
      <c r="AI67" s="5" t="s">
        <v>286</v>
      </c>
    </row>
    <row r="68" customFormat="false" ht="15" hidden="false" customHeight="false" outlineLevel="0" collapsed="false">
      <c r="A68" s="5" t="s">
        <v>284</v>
      </c>
      <c r="B68" s="5" t="s">
        <v>287</v>
      </c>
      <c r="C68" s="5" t="s">
        <v>288</v>
      </c>
      <c r="D68" s="5" t="s">
        <v>284</v>
      </c>
      <c r="E68" s="5" t="s">
        <v>59</v>
      </c>
      <c r="F68" s="6" t="n">
        <v>16850.42</v>
      </c>
      <c r="G68" s="7" t="n">
        <v>266</v>
      </c>
      <c r="H68" s="8" t="n">
        <v>0.6323</v>
      </c>
      <c r="I68" s="8" t="n">
        <v>-0.0466</v>
      </c>
      <c r="J68" s="7" t="n">
        <v>17</v>
      </c>
      <c r="K68" s="5" t="n">
        <v>18</v>
      </c>
      <c r="L68" s="5" t="n">
        <v>193</v>
      </c>
      <c r="M68" s="5" t="n">
        <v>4.4</v>
      </c>
      <c r="N68" s="9" t="s">
        <v>53</v>
      </c>
      <c r="O68" s="5"/>
      <c r="P68" s="5"/>
      <c r="Q68" s="5"/>
      <c r="R68" s="7"/>
      <c r="S68" s="7"/>
      <c r="T68" s="5"/>
      <c r="U68" s="6"/>
      <c r="V68" s="7"/>
      <c r="W68" s="5"/>
      <c r="X68" s="7"/>
      <c r="Y68" s="7"/>
      <c r="Z68" s="7"/>
      <c r="AA68" s="10"/>
      <c r="AB68" s="11"/>
      <c r="AC68" s="10"/>
      <c r="AD68" s="12"/>
      <c r="AE68" s="12"/>
      <c r="AF68" s="12"/>
      <c r="AG68" s="7"/>
      <c r="AH68" s="7"/>
      <c r="AI68" s="5" t="s">
        <v>289</v>
      </c>
    </row>
    <row r="69" customFormat="false" ht="15" hidden="false" customHeight="false" outlineLevel="0" collapsed="false">
      <c r="A69" s="5" t="s">
        <v>284</v>
      </c>
      <c r="B69" s="5" t="s">
        <v>290</v>
      </c>
      <c r="C69" s="5" t="s">
        <v>291</v>
      </c>
      <c r="D69" s="5" t="s">
        <v>284</v>
      </c>
      <c r="E69" s="5" t="s">
        <v>59</v>
      </c>
      <c r="F69" s="6" t="n">
        <v>16807.32</v>
      </c>
      <c r="G69" s="7" t="n">
        <v>618</v>
      </c>
      <c r="H69" s="8" t="n">
        <v>-0.0123</v>
      </c>
      <c r="I69" s="8" t="n">
        <v>-0.1953</v>
      </c>
      <c r="J69" s="7" t="n">
        <v>966</v>
      </c>
      <c r="K69" s="5" t="n">
        <v>31</v>
      </c>
      <c r="L69" s="5" t="n">
        <v>60</v>
      </c>
      <c r="M69" s="5" t="n">
        <v>4.6</v>
      </c>
      <c r="N69" s="9" t="s">
        <v>53</v>
      </c>
      <c r="O69" s="5"/>
      <c r="P69" s="5" t="s">
        <v>292</v>
      </c>
      <c r="Q69" s="14" t="s">
        <v>293</v>
      </c>
      <c r="R69" s="7" t="n">
        <v>50392</v>
      </c>
      <c r="S69" s="7" t="n">
        <v>1329</v>
      </c>
      <c r="T69" s="5" t="s">
        <v>294</v>
      </c>
      <c r="U69" s="6" t="n">
        <v>1629734.86</v>
      </c>
      <c r="V69" s="7" t="n">
        <v>137762</v>
      </c>
      <c r="W69" s="5" t="n">
        <v>164</v>
      </c>
      <c r="X69" s="7" t="n">
        <v>1934</v>
      </c>
      <c r="Y69" s="7" t="n">
        <v>3823</v>
      </c>
      <c r="Z69" s="7" t="n">
        <v>3675</v>
      </c>
      <c r="AA69" s="10" t="n">
        <v>1.99</v>
      </c>
      <c r="AB69" s="11" t="n">
        <v>186.66</v>
      </c>
      <c r="AC69" s="10" t="n">
        <v>15.52</v>
      </c>
      <c r="AD69" s="12" t="n">
        <v>0.76</v>
      </c>
      <c r="AE69" s="12" t="n">
        <v>0.92</v>
      </c>
      <c r="AF69" s="12" t="n">
        <v>0.98</v>
      </c>
      <c r="AG69" s="7" t="n">
        <v>98</v>
      </c>
      <c r="AH69" s="7" t="n">
        <v>1991</v>
      </c>
      <c r="AI69" s="5" t="s">
        <v>295</v>
      </c>
    </row>
    <row r="70" customFormat="false" ht="15" hidden="false" customHeight="false" outlineLevel="0" collapsed="false">
      <c r="A70" s="5" t="s">
        <v>284</v>
      </c>
      <c r="B70" s="5" t="s">
        <v>296</v>
      </c>
      <c r="C70" s="5"/>
      <c r="D70" s="5" t="s">
        <v>284</v>
      </c>
      <c r="E70" s="5" t="s">
        <v>59</v>
      </c>
      <c r="F70" s="6" t="n">
        <v>16745.49</v>
      </c>
      <c r="G70" s="7" t="n">
        <v>1042</v>
      </c>
      <c r="H70" s="8" t="n">
        <v>-0.0608</v>
      </c>
      <c r="I70" s="8" t="n">
        <v>-0.1535</v>
      </c>
      <c r="J70" s="7" t="n">
        <v>29</v>
      </c>
      <c r="K70" s="5" t="n">
        <v>12</v>
      </c>
      <c r="L70" s="5" t="n">
        <v>19</v>
      </c>
      <c r="M70" s="5" t="n">
        <v>4.7</v>
      </c>
      <c r="N70" s="9" t="s">
        <v>53</v>
      </c>
      <c r="O70" s="5"/>
      <c r="P70" s="5"/>
      <c r="Q70" s="5"/>
      <c r="R70" s="7"/>
      <c r="S70" s="7"/>
      <c r="T70" s="5"/>
      <c r="U70" s="6"/>
      <c r="V70" s="7"/>
      <c r="W70" s="5"/>
      <c r="X70" s="7"/>
      <c r="Y70" s="7"/>
      <c r="Z70" s="7"/>
      <c r="AA70" s="10"/>
      <c r="AB70" s="11"/>
      <c r="AC70" s="10"/>
      <c r="AD70" s="12"/>
      <c r="AE70" s="12"/>
      <c r="AF70" s="12"/>
      <c r="AG70" s="7"/>
      <c r="AH70" s="7"/>
      <c r="AI70" s="5" t="s">
        <v>297</v>
      </c>
    </row>
    <row r="71" customFormat="false" ht="15" hidden="false" customHeight="false" outlineLevel="0" collapsed="false">
      <c r="A71" s="5" t="s">
        <v>284</v>
      </c>
      <c r="B71" s="5" t="s">
        <v>298</v>
      </c>
      <c r="C71" s="5" t="s">
        <v>299</v>
      </c>
      <c r="D71" s="5" t="s">
        <v>284</v>
      </c>
      <c r="E71" s="5" t="s">
        <v>59</v>
      </c>
      <c r="F71" s="6" t="n">
        <v>16530.99</v>
      </c>
      <c r="G71" s="7" t="n">
        <v>926</v>
      </c>
      <c r="H71" s="8" t="n">
        <v>-0.2304</v>
      </c>
      <c r="I71" s="8" t="n">
        <v>-0.2754</v>
      </c>
      <c r="J71" s="7" t="n">
        <v>816</v>
      </c>
      <c r="K71" s="5" t="n">
        <v>16</v>
      </c>
      <c r="L71" s="5" t="n">
        <v>17</v>
      </c>
      <c r="M71" s="5" t="n">
        <v>4.5</v>
      </c>
      <c r="N71" s="9" t="s">
        <v>53</v>
      </c>
      <c r="O71" s="5"/>
      <c r="P71" s="5" t="s">
        <v>300</v>
      </c>
      <c r="Q71" s="14" t="s">
        <v>301</v>
      </c>
      <c r="R71" s="7" t="n">
        <v>4879</v>
      </c>
      <c r="S71" s="7" t="n">
        <v>379</v>
      </c>
      <c r="T71" s="5" t="s">
        <v>302</v>
      </c>
      <c r="U71" s="6" t="n">
        <v>435916.78</v>
      </c>
      <c r="V71" s="7" t="n">
        <v>27584</v>
      </c>
      <c r="W71" s="5" t="n">
        <v>22</v>
      </c>
      <c r="X71" s="7" t="n">
        <v>1764</v>
      </c>
      <c r="Y71" s="7" t="n">
        <v>5429</v>
      </c>
      <c r="Z71" s="7" t="n">
        <v>776</v>
      </c>
      <c r="AA71" s="10" t="n">
        <v>9.99</v>
      </c>
      <c r="AB71" s="11" t="n">
        <v>24.99</v>
      </c>
      <c r="AC71" s="10" t="n">
        <v>13.38</v>
      </c>
      <c r="AD71" s="12" t="n">
        <v>0.96</v>
      </c>
      <c r="AE71" s="12" t="n">
        <v>0.87</v>
      </c>
      <c r="AF71" s="12" t="n">
        <v>0.8</v>
      </c>
      <c r="AG71" s="7" t="n">
        <v>117</v>
      </c>
      <c r="AH71" s="7" t="n">
        <v>2536</v>
      </c>
      <c r="AI71" s="5" t="s">
        <v>303</v>
      </c>
    </row>
    <row r="72" customFormat="false" ht="15" hidden="false" customHeight="false" outlineLevel="0" collapsed="false">
      <c r="A72" s="5" t="s">
        <v>284</v>
      </c>
      <c r="B72" s="5" t="s">
        <v>304</v>
      </c>
      <c r="C72" s="5"/>
      <c r="D72" s="5" t="s">
        <v>284</v>
      </c>
      <c r="E72" s="5" t="s">
        <v>59</v>
      </c>
      <c r="F72" s="6" t="n">
        <v>15814.85</v>
      </c>
      <c r="G72" s="7" t="n">
        <v>526</v>
      </c>
      <c r="H72" s="8" t="n">
        <v>0.0111</v>
      </c>
      <c r="I72" s="8" t="n">
        <v>-0.116</v>
      </c>
      <c r="J72" s="7" t="n">
        <v>49</v>
      </c>
      <c r="K72" s="5" t="n">
        <v>2</v>
      </c>
      <c r="L72" s="5" t="n">
        <v>7</v>
      </c>
      <c r="M72" s="5" t="n">
        <v>4.2</v>
      </c>
      <c r="N72" s="9" t="s">
        <v>53</v>
      </c>
      <c r="O72" s="5"/>
      <c r="P72" s="5"/>
      <c r="Q72" s="5"/>
      <c r="R72" s="7"/>
      <c r="S72" s="7"/>
      <c r="T72" s="5"/>
      <c r="U72" s="6"/>
      <c r="V72" s="7"/>
      <c r="W72" s="5"/>
      <c r="X72" s="7"/>
      <c r="Y72" s="7"/>
      <c r="Z72" s="7"/>
      <c r="AA72" s="10"/>
      <c r="AB72" s="11"/>
      <c r="AC72" s="10"/>
      <c r="AD72" s="12"/>
      <c r="AE72" s="12"/>
      <c r="AF72" s="12"/>
      <c r="AG72" s="7"/>
      <c r="AH72" s="7"/>
      <c r="AI72" s="5" t="s">
        <v>305</v>
      </c>
    </row>
    <row r="73" customFormat="false" ht="15" hidden="false" customHeight="false" outlineLevel="0" collapsed="false">
      <c r="A73" s="5" t="s">
        <v>284</v>
      </c>
      <c r="B73" s="5" t="s">
        <v>306</v>
      </c>
      <c r="C73" s="5" t="s">
        <v>306</v>
      </c>
      <c r="D73" s="5" t="s">
        <v>284</v>
      </c>
      <c r="E73" s="5" t="s">
        <v>59</v>
      </c>
      <c r="F73" s="6" t="n">
        <v>15768.68</v>
      </c>
      <c r="G73" s="7" t="n">
        <v>315</v>
      </c>
      <c r="H73" s="8" t="n">
        <v>0.3771</v>
      </c>
      <c r="I73" s="8" t="n">
        <v>0.25</v>
      </c>
      <c r="J73" s="7" t="n">
        <v>99</v>
      </c>
      <c r="K73" s="5" t="n">
        <v>14</v>
      </c>
      <c r="L73" s="5" t="n">
        <v>74</v>
      </c>
      <c r="M73" s="5" t="n">
        <v>4.3</v>
      </c>
      <c r="N73" s="9" t="s">
        <v>53</v>
      </c>
      <c r="O73" s="5"/>
      <c r="P73" s="5"/>
      <c r="Q73" s="5"/>
      <c r="R73" s="7"/>
      <c r="S73" s="7"/>
      <c r="T73" s="5"/>
      <c r="U73" s="6"/>
      <c r="V73" s="7"/>
      <c r="W73" s="5"/>
      <c r="X73" s="7"/>
      <c r="Y73" s="7"/>
      <c r="Z73" s="7"/>
      <c r="AA73" s="10"/>
      <c r="AB73" s="11"/>
      <c r="AC73" s="10"/>
      <c r="AD73" s="12"/>
      <c r="AE73" s="12"/>
      <c r="AF73" s="12"/>
      <c r="AG73" s="7"/>
      <c r="AH73" s="7"/>
      <c r="AI73" s="5" t="s">
        <v>307</v>
      </c>
    </row>
    <row r="74" customFormat="false" ht="15" hidden="false" customHeight="false" outlineLevel="0" collapsed="false">
      <c r="A74" s="5" t="s">
        <v>284</v>
      </c>
      <c r="B74" s="5" t="s">
        <v>308</v>
      </c>
      <c r="C74" s="5" t="s">
        <v>309</v>
      </c>
      <c r="D74" s="5" t="s">
        <v>284</v>
      </c>
      <c r="E74" s="5" t="s">
        <v>59</v>
      </c>
      <c r="F74" s="6" t="n">
        <v>15164.67</v>
      </c>
      <c r="G74" s="7" t="n">
        <v>509</v>
      </c>
      <c r="H74" s="8" t="n">
        <v>-0.0766</v>
      </c>
      <c r="I74" s="8" t="n">
        <v>-0.2169</v>
      </c>
      <c r="J74" s="7" t="n">
        <v>432</v>
      </c>
      <c r="K74" s="5" t="n">
        <v>21</v>
      </c>
      <c r="L74" s="5" t="n">
        <v>20</v>
      </c>
      <c r="M74" s="5" t="n">
        <v>4.4</v>
      </c>
      <c r="N74" s="9" t="s">
        <v>53</v>
      </c>
      <c r="O74" s="5"/>
      <c r="P74" s="5" t="s">
        <v>310</v>
      </c>
      <c r="Q74" s="14" t="s">
        <v>311</v>
      </c>
      <c r="R74" s="7" t="n">
        <v>79782</v>
      </c>
      <c r="S74" s="7" t="n">
        <v>1766</v>
      </c>
      <c r="T74" s="5" t="s">
        <v>312</v>
      </c>
      <c r="U74" s="6" t="n">
        <v>2101930.66</v>
      </c>
      <c r="V74" s="7" t="n">
        <v>120745</v>
      </c>
      <c r="W74" s="5" t="n">
        <v>60</v>
      </c>
      <c r="X74" s="7" t="n">
        <v>9263</v>
      </c>
      <c r="Y74" s="7" t="n">
        <v>18803</v>
      </c>
      <c r="Z74" s="7" t="n">
        <v>2724</v>
      </c>
      <c r="AA74" s="10" t="n">
        <v>1.99</v>
      </c>
      <c r="AB74" s="11" t="n">
        <v>97.5</v>
      </c>
      <c r="AC74" s="10" t="n">
        <v>13.34</v>
      </c>
      <c r="AD74" s="12" t="n">
        <v>0.83</v>
      </c>
      <c r="AE74" s="12" t="n">
        <v>0.87</v>
      </c>
      <c r="AF74" s="12" t="n">
        <v>0.89</v>
      </c>
      <c r="AG74" s="7" t="n">
        <v>103</v>
      </c>
      <c r="AH74" s="7" t="n">
        <v>2111</v>
      </c>
      <c r="AI74" s="5" t="s">
        <v>313</v>
      </c>
    </row>
    <row r="75" customFormat="false" ht="15" hidden="false" customHeight="false" outlineLevel="0" collapsed="false">
      <c r="A75" s="5" t="s">
        <v>284</v>
      </c>
      <c r="B75" s="5" t="s">
        <v>314</v>
      </c>
      <c r="C75" s="5" t="s">
        <v>315</v>
      </c>
      <c r="D75" s="5" t="s">
        <v>284</v>
      </c>
      <c r="E75" s="5" t="s">
        <v>59</v>
      </c>
      <c r="F75" s="6" t="n">
        <v>15041.63</v>
      </c>
      <c r="G75" s="7" t="n">
        <v>868</v>
      </c>
      <c r="H75" s="8" t="n">
        <v>0.2262</v>
      </c>
      <c r="I75" s="8" t="n">
        <v>0.2191</v>
      </c>
      <c r="J75" s="7" t="n">
        <v>245</v>
      </c>
      <c r="K75" s="5" t="n">
        <v>4</v>
      </c>
      <c r="L75" s="5" t="n">
        <v>4</v>
      </c>
      <c r="M75" s="5" t="n">
        <v>4.4</v>
      </c>
      <c r="N75" s="9" t="s">
        <v>53</v>
      </c>
      <c r="O75" s="5"/>
      <c r="P75" s="5"/>
      <c r="Q75" s="5"/>
      <c r="R75" s="7"/>
      <c r="S75" s="7"/>
      <c r="T75" s="5"/>
      <c r="U75" s="6"/>
      <c r="V75" s="7"/>
      <c r="W75" s="5"/>
      <c r="X75" s="7"/>
      <c r="Y75" s="7"/>
      <c r="Z75" s="7"/>
      <c r="AA75" s="10"/>
      <c r="AB75" s="11"/>
      <c r="AC75" s="10"/>
      <c r="AD75" s="12"/>
      <c r="AE75" s="12"/>
      <c r="AF75" s="12"/>
      <c r="AG75" s="7"/>
      <c r="AH75" s="7"/>
      <c r="AI75" s="5" t="s">
        <v>316</v>
      </c>
    </row>
    <row r="76" customFormat="false" ht="15" hidden="false" customHeight="false" outlineLevel="0" collapsed="false">
      <c r="A76" s="5" t="s">
        <v>284</v>
      </c>
      <c r="B76" s="5" t="s">
        <v>317</v>
      </c>
      <c r="C76" s="5"/>
      <c r="D76" s="5" t="s">
        <v>284</v>
      </c>
      <c r="E76" s="5" t="s">
        <v>59</v>
      </c>
      <c r="F76" s="6" t="n">
        <v>15021.48</v>
      </c>
      <c r="G76" s="7" t="n">
        <v>551</v>
      </c>
      <c r="H76" s="8" t="n">
        <v>0.9921</v>
      </c>
      <c r="I76" s="8" t="n">
        <v>0.5925</v>
      </c>
      <c r="J76" s="7" t="n">
        <v>58</v>
      </c>
      <c r="K76" s="5" t="n">
        <v>4</v>
      </c>
      <c r="L76" s="5" t="n">
        <v>4</v>
      </c>
      <c r="M76" s="5" t="n">
        <v>4.5</v>
      </c>
      <c r="N76" s="9" t="s">
        <v>53</v>
      </c>
      <c r="O76" s="5"/>
      <c r="P76" s="5"/>
      <c r="Q76" s="5"/>
      <c r="R76" s="7"/>
      <c r="S76" s="7"/>
      <c r="T76" s="5"/>
      <c r="U76" s="6"/>
      <c r="V76" s="7"/>
      <c r="W76" s="5"/>
      <c r="X76" s="7"/>
      <c r="Y76" s="7"/>
      <c r="Z76" s="7"/>
      <c r="AA76" s="10"/>
      <c r="AB76" s="11"/>
      <c r="AC76" s="10"/>
      <c r="AD76" s="12"/>
      <c r="AE76" s="12"/>
      <c r="AF76" s="12"/>
      <c r="AG76" s="7"/>
      <c r="AH76" s="7"/>
      <c r="AI76" s="5" t="s">
        <v>318</v>
      </c>
    </row>
    <row r="77" customFormat="false" ht="15" hidden="false" customHeight="false" outlineLevel="0" collapsed="false">
      <c r="A77" s="5" t="s">
        <v>319</v>
      </c>
      <c r="B77" s="5" t="s">
        <v>320</v>
      </c>
      <c r="C77" s="5"/>
      <c r="D77" s="5" t="s">
        <v>319</v>
      </c>
      <c r="E77" s="5" t="s">
        <v>52</v>
      </c>
      <c r="F77" s="6" t="n">
        <v>22873.28</v>
      </c>
      <c r="G77" s="7" t="n">
        <v>2125</v>
      </c>
      <c r="H77" s="8" t="n">
        <v>28.2564</v>
      </c>
      <c r="I77" s="8" t="n">
        <v>26.9605</v>
      </c>
      <c r="J77" s="7" t="n">
        <v>23</v>
      </c>
      <c r="K77" s="5" t="n">
        <v>3</v>
      </c>
      <c r="L77" s="5" t="n">
        <v>37</v>
      </c>
      <c r="M77" s="5" t="n">
        <v>4.8</v>
      </c>
      <c r="N77" s="9" t="s">
        <v>53</v>
      </c>
      <c r="O77" s="5"/>
      <c r="P77" s="5"/>
      <c r="Q77" s="5"/>
      <c r="R77" s="7"/>
      <c r="S77" s="7"/>
      <c r="T77" s="5"/>
      <c r="U77" s="6"/>
      <c r="V77" s="7"/>
      <c r="W77" s="5"/>
      <c r="X77" s="7"/>
      <c r="Y77" s="7"/>
      <c r="Z77" s="7"/>
      <c r="AA77" s="10"/>
      <c r="AB77" s="11"/>
      <c r="AC77" s="10"/>
      <c r="AD77" s="12"/>
      <c r="AE77" s="12"/>
      <c r="AF77" s="12"/>
      <c r="AG77" s="7"/>
      <c r="AH77" s="7"/>
      <c r="AI77" s="5" t="s">
        <v>321</v>
      </c>
    </row>
    <row r="78" customFormat="false" ht="15" hidden="false" customHeight="false" outlineLevel="0" collapsed="false">
      <c r="A78" s="5" t="s">
        <v>319</v>
      </c>
      <c r="B78" s="5" t="s">
        <v>322</v>
      </c>
      <c r="C78" s="5" t="s">
        <v>323</v>
      </c>
      <c r="D78" s="5" t="s">
        <v>319</v>
      </c>
      <c r="E78" s="5" t="s">
        <v>52</v>
      </c>
      <c r="F78" s="6" t="n">
        <v>22506.52</v>
      </c>
      <c r="G78" s="7" t="n">
        <v>2155</v>
      </c>
      <c r="H78" s="8" t="n">
        <v>0.9455</v>
      </c>
      <c r="I78" s="8" t="n">
        <v>0.4122</v>
      </c>
      <c r="J78" s="7" t="n">
        <v>471</v>
      </c>
      <c r="K78" s="5" t="n">
        <v>41</v>
      </c>
      <c r="L78" s="5" t="n">
        <v>140</v>
      </c>
      <c r="M78" s="5" t="n">
        <v>4.2</v>
      </c>
      <c r="N78" s="9" t="s">
        <v>53</v>
      </c>
      <c r="O78" s="5"/>
      <c r="P78" s="5"/>
      <c r="Q78" s="5"/>
      <c r="R78" s="7"/>
      <c r="S78" s="7"/>
      <c r="T78" s="5"/>
      <c r="U78" s="6"/>
      <c r="V78" s="7"/>
      <c r="W78" s="5"/>
      <c r="X78" s="7"/>
      <c r="Y78" s="7"/>
      <c r="Z78" s="7"/>
      <c r="AA78" s="10"/>
      <c r="AB78" s="11"/>
      <c r="AC78" s="10"/>
      <c r="AD78" s="12"/>
      <c r="AE78" s="12"/>
      <c r="AF78" s="12"/>
      <c r="AG78" s="7"/>
      <c r="AH78" s="7"/>
      <c r="AI78" s="5" t="s">
        <v>324</v>
      </c>
    </row>
    <row r="79" customFormat="false" ht="15" hidden="false" customHeight="false" outlineLevel="0" collapsed="false">
      <c r="A79" s="5" t="s">
        <v>319</v>
      </c>
      <c r="B79" s="5" t="s">
        <v>325</v>
      </c>
      <c r="C79" s="5" t="s">
        <v>326</v>
      </c>
      <c r="D79" s="5" t="s">
        <v>319</v>
      </c>
      <c r="E79" s="5" t="s">
        <v>59</v>
      </c>
      <c r="F79" s="6" t="n">
        <v>22335.48</v>
      </c>
      <c r="G79" s="7" t="n">
        <v>735</v>
      </c>
      <c r="H79" s="8" t="n">
        <v>0.3727</v>
      </c>
      <c r="I79" s="8" t="n">
        <v>0.1256</v>
      </c>
      <c r="J79" s="7" t="n">
        <v>24</v>
      </c>
      <c r="K79" s="5" t="n">
        <v>17</v>
      </c>
      <c r="L79" s="5" t="n">
        <v>90</v>
      </c>
      <c r="M79" s="5" t="n">
        <v>4.2</v>
      </c>
      <c r="N79" s="9" t="s">
        <v>53</v>
      </c>
      <c r="O79" s="5"/>
      <c r="P79" s="5" t="s">
        <v>327</v>
      </c>
      <c r="Q79" s="14" t="s">
        <v>328</v>
      </c>
      <c r="R79" s="7" t="n">
        <v>3017</v>
      </c>
      <c r="S79" s="7" t="n">
        <v>407</v>
      </c>
      <c r="T79" s="5" t="s">
        <v>329</v>
      </c>
      <c r="U79" s="6" t="n">
        <v>672217.86</v>
      </c>
      <c r="V79" s="7" t="n">
        <v>34450</v>
      </c>
      <c r="W79" s="5" t="n">
        <v>135</v>
      </c>
      <c r="X79" s="7" t="n">
        <v>1080</v>
      </c>
      <c r="Y79" s="7" t="n">
        <v>2336</v>
      </c>
      <c r="Z79" s="7" t="n">
        <v>687</v>
      </c>
      <c r="AA79" s="10" t="n">
        <v>4.29</v>
      </c>
      <c r="AB79" s="11" t="n">
        <v>233.47</v>
      </c>
      <c r="AC79" s="10" t="n">
        <v>27.73</v>
      </c>
      <c r="AD79" s="12" t="n">
        <v>0.55</v>
      </c>
      <c r="AE79" s="12" t="n">
        <v>0.9</v>
      </c>
      <c r="AF79" s="12" t="n">
        <v>0.97</v>
      </c>
      <c r="AG79" s="7" t="n">
        <v>15</v>
      </c>
      <c r="AH79" s="7" t="n">
        <v>763</v>
      </c>
      <c r="AI79" s="5" t="s">
        <v>330</v>
      </c>
    </row>
    <row r="80" customFormat="false" ht="15" hidden="false" customHeight="false" outlineLevel="0" collapsed="false">
      <c r="A80" s="5" t="s">
        <v>319</v>
      </c>
      <c r="B80" s="5" t="s">
        <v>331</v>
      </c>
      <c r="C80" s="5" t="s">
        <v>331</v>
      </c>
      <c r="D80" s="5" t="s">
        <v>319</v>
      </c>
      <c r="E80" s="5" t="s">
        <v>59</v>
      </c>
      <c r="F80" s="6" t="n">
        <v>21290.63</v>
      </c>
      <c r="G80" s="7" t="n">
        <v>744</v>
      </c>
      <c r="H80" s="8" t="n">
        <v>-0.1472</v>
      </c>
      <c r="I80" s="8" t="n">
        <v>-0.3722</v>
      </c>
      <c r="J80" s="7" t="n">
        <v>132</v>
      </c>
      <c r="K80" s="5" t="n">
        <v>2</v>
      </c>
      <c r="L80" s="5" t="n">
        <v>11</v>
      </c>
      <c r="M80" s="5" t="n">
        <v>4.8</v>
      </c>
      <c r="N80" s="9" t="s">
        <v>53</v>
      </c>
      <c r="O80" s="5"/>
      <c r="P80" s="5" t="s">
        <v>332</v>
      </c>
      <c r="Q80" s="14" t="s">
        <v>333</v>
      </c>
      <c r="R80" s="7" t="n">
        <v>48</v>
      </c>
      <c r="S80" s="7" t="n">
        <v>151</v>
      </c>
      <c r="T80" s="5" t="s">
        <v>334</v>
      </c>
      <c r="U80" s="6" t="n">
        <v>72018.85</v>
      </c>
      <c r="V80" s="7" t="n">
        <v>4656</v>
      </c>
      <c r="W80" s="5" t="n">
        <v>34</v>
      </c>
      <c r="X80" s="7" t="n">
        <v>242</v>
      </c>
      <c r="Y80" s="7" t="n">
        <v>1052</v>
      </c>
      <c r="Z80" s="7" t="n">
        <v>46</v>
      </c>
      <c r="AA80" s="10" t="n">
        <v>6.22</v>
      </c>
      <c r="AB80" s="11" t="n">
        <v>58.99</v>
      </c>
      <c r="AC80" s="10" t="n">
        <v>8.1</v>
      </c>
      <c r="AD80" s="12" t="n">
        <v>0.85</v>
      </c>
      <c r="AE80" s="12" t="n">
        <v>0.87</v>
      </c>
      <c r="AF80" s="12" t="n">
        <v>1</v>
      </c>
      <c r="AG80" s="7" t="n">
        <v>49</v>
      </c>
      <c r="AH80" s="7" t="n">
        <v>1852</v>
      </c>
      <c r="AI80" s="5" t="s">
        <v>335</v>
      </c>
    </row>
    <row r="81" customFormat="false" ht="15" hidden="false" customHeight="false" outlineLevel="0" collapsed="false">
      <c r="A81" s="5" t="s">
        <v>319</v>
      </c>
      <c r="B81" s="5" t="s">
        <v>336</v>
      </c>
      <c r="C81" s="5" t="s">
        <v>337</v>
      </c>
      <c r="D81" s="5" t="s">
        <v>319</v>
      </c>
      <c r="E81" s="5" t="s">
        <v>52</v>
      </c>
      <c r="F81" s="6" t="n">
        <v>21100.15</v>
      </c>
      <c r="G81" s="7" t="n">
        <v>1300</v>
      </c>
      <c r="H81" s="8" t="n">
        <v>0.0621</v>
      </c>
      <c r="I81" s="8" t="n">
        <v>0.1454</v>
      </c>
      <c r="J81" s="7" t="n">
        <v>93</v>
      </c>
      <c r="K81" s="5" t="n">
        <v>10</v>
      </c>
      <c r="L81" s="5" t="n">
        <v>21</v>
      </c>
      <c r="M81" s="5" t="n">
        <v>3.8</v>
      </c>
      <c r="N81" s="9" t="s">
        <v>53</v>
      </c>
      <c r="O81" s="5"/>
      <c r="P81" s="5"/>
      <c r="Q81" s="5"/>
      <c r="R81" s="7"/>
      <c r="S81" s="7"/>
      <c r="T81" s="5"/>
      <c r="U81" s="6"/>
      <c r="V81" s="7"/>
      <c r="W81" s="5"/>
      <c r="X81" s="7"/>
      <c r="Y81" s="7"/>
      <c r="Z81" s="7"/>
      <c r="AA81" s="10"/>
      <c r="AB81" s="11"/>
      <c r="AC81" s="10"/>
      <c r="AD81" s="12"/>
      <c r="AE81" s="12"/>
      <c r="AF81" s="12"/>
      <c r="AG81" s="7"/>
      <c r="AH81" s="7"/>
      <c r="AI81" s="5" t="s">
        <v>338</v>
      </c>
    </row>
    <row r="82" customFormat="false" ht="15" hidden="false" customHeight="false" outlineLevel="0" collapsed="false">
      <c r="A82" s="5" t="s">
        <v>319</v>
      </c>
      <c r="B82" s="5" t="s">
        <v>339</v>
      </c>
      <c r="C82" s="5"/>
      <c r="D82" s="5" t="s">
        <v>319</v>
      </c>
      <c r="E82" s="5" t="s">
        <v>52</v>
      </c>
      <c r="F82" s="6" t="n">
        <v>21090.22</v>
      </c>
      <c r="G82" s="7" t="n">
        <v>477</v>
      </c>
      <c r="H82" s="8" t="n">
        <v>-0.4536</v>
      </c>
      <c r="I82" s="8" t="n">
        <v>-0.4308</v>
      </c>
      <c r="J82" s="7" t="n">
        <v>170</v>
      </c>
      <c r="K82" s="5" t="n">
        <v>11</v>
      </c>
      <c r="L82" s="5" t="n">
        <v>29</v>
      </c>
      <c r="M82" s="5" t="n">
        <v>3.6</v>
      </c>
      <c r="N82" s="9" t="s">
        <v>53</v>
      </c>
      <c r="O82" s="5"/>
      <c r="P82" s="5"/>
      <c r="Q82" s="5"/>
      <c r="R82" s="7"/>
      <c r="S82" s="7"/>
      <c r="T82" s="5"/>
      <c r="U82" s="6"/>
      <c r="V82" s="7"/>
      <c r="W82" s="5"/>
      <c r="X82" s="7"/>
      <c r="Y82" s="7"/>
      <c r="Z82" s="7"/>
      <c r="AA82" s="10"/>
      <c r="AB82" s="11"/>
      <c r="AC82" s="10"/>
      <c r="AD82" s="12"/>
      <c r="AE82" s="12"/>
      <c r="AF82" s="12"/>
      <c r="AG82" s="7"/>
      <c r="AH82" s="7"/>
      <c r="AI82" s="5" t="s">
        <v>340</v>
      </c>
    </row>
    <row r="83" customFormat="false" ht="15" hidden="false" customHeight="false" outlineLevel="0" collapsed="false">
      <c r="A83" s="5" t="s">
        <v>319</v>
      </c>
      <c r="B83" s="5" t="s">
        <v>341</v>
      </c>
      <c r="C83" s="5"/>
      <c r="D83" s="5" t="s">
        <v>319</v>
      </c>
      <c r="E83" s="5" t="s">
        <v>59</v>
      </c>
      <c r="F83" s="6" t="n">
        <v>20954.02</v>
      </c>
      <c r="G83" s="7" t="n">
        <v>1269</v>
      </c>
      <c r="H83" s="8" t="n">
        <v>-0.1051</v>
      </c>
      <c r="I83" s="8" t="n">
        <v>-0.2535</v>
      </c>
      <c r="J83" s="7" t="n">
        <v>57</v>
      </c>
      <c r="K83" s="5" t="n">
        <v>9</v>
      </c>
      <c r="L83" s="5" t="n">
        <v>99</v>
      </c>
      <c r="M83" s="5" t="n">
        <v>4</v>
      </c>
      <c r="N83" s="9" t="s">
        <v>53</v>
      </c>
      <c r="O83" s="5"/>
      <c r="P83" s="5" t="s">
        <v>342</v>
      </c>
      <c r="Q83" s="14" t="s">
        <v>343</v>
      </c>
      <c r="R83" s="7" t="n">
        <v>5136</v>
      </c>
      <c r="S83" s="7" t="n">
        <v>272</v>
      </c>
      <c r="T83" s="5" t="s">
        <v>344</v>
      </c>
      <c r="U83" s="6" t="n">
        <v>99446.13</v>
      </c>
      <c r="V83" s="7" t="n">
        <v>8578</v>
      </c>
      <c r="W83" s="5" t="n">
        <v>106</v>
      </c>
      <c r="X83" s="7" t="n">
        <v>156</v>
      </c>
      <c r="Y83" s="7" t="n">
        <v>363</v>
      </c>
      <c r="Z83" s="7" t="n">
        <v>29</v>
      </c>
      <c r="AA83" s="10" t="n">
        <v>6.9</v>
      </c>
      <c r="AB83" s="11" t="n">
        <v>269.34</v>
      </c>
      <c r="AC83" s="10" t="n">
        <v>13.34</v>
      </c>
      <c r="AD83" s="12"/>
      <c r="AE83" s="12"/>
      <c r="AF83" s="12"/>
      <c r="AG83" s="7" t="n">
        <v>59</v>
      </c>
      <c r="AH83" s="7" t="n">
        <v>2129</v>
      </c>
      <c r="AI83" s="5" t="s">
        <v>345</v>
      </c>
    </row>
    <row r="84" customFormat="false" ht="15" hidden="false" customHeight="false" outlineLevel="0" collapsed="false">
      <c r="A84" s="5" t="s">
        <v>319</v>
      </c>
      <c r="B84" s="5" t="s">
        <v>346</v>
      </c>
      <c r="C84" s="5" t="s">
        <v>347</v>
      </c>
      <c r="D84" s="5" t="s">
        <v>58</v>
      </c>
      <c r="E84" s="5" t="s">
        <v>52</v>
      </c>
      <c r="F84" s="6" t="n">
        <v>20932.85</v>
      </c>
      <c r="G84" s="7" t="n">
        <v>740</v>
      </c>
      <c r="H84" s="8" t="n">
        <v>1.1612</v>
      </c>
      <c r="I84" s="8" t="n">
        <v>0.7746</v>
      </c>
      <c r="J84" s="7" t="n">
        <v>182</v>
      </c>
      <c r="K84" s="5" t="n">
        <v>4</v>
      </c>
      <c r="L84" s="5" t="n">
        <v>30</v>
      </c>
      <c r="M84" s="5" t="n">
        <v>4.5</v>
      </c>
      <c r="N84" s="13" t="s">
        <v>60</v>
      </c>
      <c r="O84" s="5"/>
      <c r="P84" s="5"/>
      <c r="Q84" s="5"/>
      <c r="R84" s="7"/>
      <c r="S84" s="7"/>
      <c r="T84" s="5"/>
      <c r="U84" s="6"/>
      <c r="V84" s="7"/>
      <c r="W84" s="5"/>
      <c r="X84" s="7"/>
      <c r="Y84" s="7"/>
      <c r="Z84" s="7"/>
      <c r="AA84" s="10"/>
      <c r="AB84" s="11"/>
      <c r="AC84" s="10"/>
      <c r="AD84" s="12"/>
      <c r="AE84" s="12"/>
      <c r="AF84" s="12"/>
      <c r="AG84" s="7"/>
      <c r="AH84" s="7"/>
      <c r="AI84" s="5" t="s">
        <v>348</v>
      </c>
    </row>
    <row r="85" customFormat="false" ht="15" hidden="false" customHeight="false" outlineLevel="0" collapsed="false">
      <c r="A85" s="5" t="s">
        <v>58</v>
      </c>
      <c r="B85" s="5" t="s">
        <v>349</v>
      </c>
      <c r="C85" s="5" t="s">
        <v>350</v>
      </c>
      <c r="D85" s="5" t="s">
        <v>319</v>
      </c>
      <c r="E85" s="5" t="s">
        <v>59</v>
      </c>
      <c r="F85" s="6" t="n">
        <v>21000.42</v>
      </c>
      <c r="G85" s="7" t="n">
        <v>1834</v>
      </c>
      <c r="H85" s="8" t="n">
        <v>0.1932</v>
      </c>
      <c r="I85" s="8" t="n">
        <v>-0.1731</v>
      </c>
      <c r="J85" s="7" t="n">
        <v>274</v>
      </c>
      <c r="K85" s="5" t="n">
        <v>50</v>
      </c>
      <c r="L85" s="5" t="n">
        <v>398</v>
      </c>
      <c r="M85" s="5" t="n">
        <v>3.6</v>
      </c>
      <c r="N85" s="13" t="s">
        <v>60</v>
      </c>
      <c r="O85" s="5"/>
      <c r="P85" s="5"/>
      <c r="Q85" s="5"/>
      <c r="R85" s="7"/>
      <c r="S85" s="7"/>
      <c r="T85" s="5"/>
      <c r="U85" s="6"/>
      <c r="V85" s="7"/>
      <c r="W85" s="5"/>
      <c r="X85" s="7"/>
      <c r="Y85" s="7"/>
      <c r="Z85" s="7"/>
      <c r="AA85" s="10"/>
      <c r="AB85" s="11"/>
      <c r="AC85" s="10"/>
      <c r="AD85" s="12"/>
      <c r="AE85" s="12"/>
      <c r="AF85" s="12"/>
      <c r="AG85" s="7"/>
      <c r="AH85" s="7"/>
      <c r="AI85" s="5" t="s">
        <v>351</v>
      </c>
    </row>
    <row r="86" customFormat="false" ht="15" hidden="false" customHeight="false" outlineLevel="0" collapsed="false">
      <c r="A86" s="5" t="s">
        <v>58</v>
      </c>
      <c r="B86" s="5" t="s">
        <v>352</v>
      </c>
      <c r="C86" s="5" t="s">
        <v>352</v>
      </c>
      <c r="D86" s="5" t="s">
        <v>353</v>
      </c>
      <c r="E86" s="5" t="s">
        <v>59</v>
      </c>
      <c r="F86" s="6" t="n">
        <v>20895.05</v>
      </c>
      <c r="G86" s="7" t="n">
        <v>1521</v>
      </c>
      <c r="H86" s="8" t="n">
        <v>0.3186</v>
      </c>
      <c r="I86" s="8" t="n">
        <v>0.2643</v>
      </c>
      <c r="J86" s="7" t="n">
        <v>185</v>
      </c>
      <c r="K86" s="5" t="n">
        <v>62</v>
      </c>
      <c r="L86" s="5" t="n">
        <v>714</v>
      </c>
      <c r="M86" s="5" t="n">
        <v>4.7</v>
      </c>
      <c r="N86" s="13" t="s">
        <v>60</v>
      </c>
      <c r="O86" s="5"/>
      <c r="P86" s="5"/>
      <c r="Q86" s="5"/>
      <c r="R86" s="7"/>
      <c r="S86" s="7"/>
      <c r="T86" s="5"/>
      <c r="U86" s="6"/>
      <c r="V86" s="7"/>
      <c r="W86" s="5"/>
      <c r="X86" s="7"/>
      <c r="Y86" s="7"/>
      <c r="Z86" s="7"/>
      <c r="AA86" s="10"/>
      <c r="AB86" s="11"/>
      <c r="AC86" s="10"/>
      <c r="AD86" s="12"/>
      <c r="AE86" s="12"/>
      <c r="AF86" s="12"/>
      <c r="AG86" s="7"/>
      <c r="AH86" s="7"/>
      <c r="AI86" s="5" t="s">
        <v>354</v>
      </c>
    </row>
    <row r="87" customFormat="false" ht="15" hidden="false" customHeight="false" outlineLevel="0" collapsed="false">
      <c r="A87" s="5" t="s">
        <v>58</v>
      </c>
      <c r="B87" s="5" t="s">
        <v>355</v>
      </c>
      <c r="C87" s="5" t="s">
        <v>356</v>
      </c>
      <c r="D87" s="5" t="s">
        <v>58</v>
      </c>
      <c r="E87" s="5" t="s">
        <v>59</v>
      </c>
      <c r="F87" s="6" t="n">
        <v>20853.61</v>
      </c>
      <c r="G87" s="7" t="n">
        <v>713</v>
      </c>
      <c r="H87" s="8" t="n">
        <v>1.3011</v>
      </c>
      <c r="I87" s="8" t="n">
        <v>0.8329</v>
      </c>
      <c r="J87" s="7" t="n">
        <v>61</v>
      </c>
      <c r="K87" s="5" t="n">
        <v>48</v>
      </c>
      <c r="L87" s="5" t="n">
        <v>97</v>
      </c>
      <c r="M87" s="5" t="n">
        <v>4.4</v>
      </c>
      <c r="N87" s="9" t="s">
        <v>53</v>
      </c>
      <c r="O87" s="5"/>
      <c r="P87" s="5"/>
      <c r="Q87" s="5"/>
      <c r="R87" s="7"/>
      <c r="S87" s="7"/>
      <c r="T87" s="5"/>
      <c r="U87" s="6"/>
      <c r="V87" s="7"/>
      <c r="W87" s="5"/>
      <c r="X87" s="7"/>
      <c r="Y87" s="7"/>
      <c r="Z87" s="7"/>
      <c r="AA87" s="10"/>
      <c r="AB87" s="11"/>
      <c r="AC87" s="10"/>
      <c r="AD87" s="12"/>
      <c r="AE87" s="12"/>
      <c r="AF87" s="12"/>
      <c r="AG87" s="7"/>
      <c r="AH87" s="7"/>
      <c r="AI87" s="5" t="s">
        <v>357</v>
      </c>
    </row>
    <row r="88" customFormat="false" ht="15" hidden="false" customHeight="false" outlineLevel="0" collapsed="false">
      <c r="A88" s="5" t="s">
        <v>58</v>
      </c>
      <c r="B88" s="5" t="s">
        <v>358</v>
      </c>
      <c r="C88" s="5" t="s">
        <v>359</v>
      </c>
      <c r="D88" s="5" t="s">
        <v>58</v>
      </c>
      <c r="E88" s="5" t="s">
        <v>59</v>
      </c>
      <c r="F88" s="6" t="n">
        <v>20520.64</v>
      </c>
      <c r="G88" s="7" t="n">
        <v>651</v>
      </c>
      <c r="H88" s="8" t="n">
        <v>-0.4774</v>
      </c>
      <c r="I88" s="8" t="n">
        <v>-0.558</v>
      </c>
      <c r="J88" s="7" t="n">
        <v>188</v>
      </c>
      <c r="K88" s="5" t="n">
        <v>15</v>
      </c>
      <c r="L88" s="5" t="n">
        <v>193</v>
      </c>
      <c r="M88" s="5" t="n">
        <v>4</v>
      </c>
      <c r="N88" s="9" t="s">
        <v>53</v>
      </c>
      <c r="O88" s="5"/>
      <c r="P88" s="5" t="s">
        <v>360</v>
      </c>
      <c r="Q88" s="14" t="s">
        <v>361</v>
      </c>
      <c r="R88" s="7" t="n">
        <v>14558</v>
      </c>
      <c r="S88" s="7" t="n">
        <v>828</v>
      </c>
      <c r="T88" s="5" t="s">
        <v>362</v>
      </c>
      <c r="U88" s="6" t="n">
        <v>470480.93</v>
      </c>
      <c r="V88" s="7" t="n">
        <v>19897</v>
      </c>
      <c r="W88" s="5" t="n">
        <v>337</v>
      </c>
      <c r="X88" s="7" t="n">
        <v>664</v>
      </c>
      <c r="Y88" s="7" t="n">
        <v>3374</v>
      </c>
      <c r="Z88" s="7" t="n">
        <v>504</v>
      </c>
      <c r="AA88" s="10" t="n">
        <v>8.4</v>
      </c>
      <c r="AB88" s="11" t="n">
        <v>166.55</v>
      </c>
      <c r="AC88" s="10" t="n">
        <v>28.31</v>
      </c>
      <c r="AD88" s="12" t="n">
        <v>0.63</v>
      </c>
      <c r="AE88" s="12" t="n">
        <v>0.93</v>
      </c>
      <c r="AF88" s="12" t="n">
        <v>1</v>
      </c>
      <c r="AG88" s="7" t="n">
        <v>146</v>
      </c>
      <c r="AH88" s="7" t="n">
        <v>1950</v>
      </c>
      <c r="AI88" s="5" t="s">
        <v>363</v>
      </c>
    </row>
    <row r="89" customFormat="false" ht="15" hidden="false" customHeight="false" outlineLevel="0" collapsed="false">
      <c r="A89" s="5" t="s">
        <v>58</v>
      </c>
      <c r="B89" s="5" t="s">
        <v>364</v>
      </c>
      <c r="C89" s="5"/>
      <c r="D89" s="5" t="s">
        <v>58</v>
      </c>
      <c r="E89" s="5" t="s">
        <v>52</v>
      </c>
      <c r="F89" s="6" t="n">
        <v>20339.46</v>
      </c>
      <c r="G89" s="7" t="n">
        <v>1587</v>
      </c>
      <c r="H89" s="8" t="n">
        <v>-0.5983</v>
      </c>
      <c r="I89" s="8" t="n">
        <v>-0.5629</v>
      </c>
      <c r="J89" s="7" t="n">
        <v>178</v>
      </c>
      <c r="K89" s="5" t="n">
        <v>69</v>
      </c>
      <c r="L89" s="5" t="n">
        <v>426</v>
      </c>
      <c r="M89" s="5" t="n">
        <v>4.4</v>
      </c>
      <c r="N89" s="9" t="s">
        <v>53</v>
      </c>
      <c r="O89" s="5"/>
      <c r="P89" s="5"/>
      <c r="Q89" s="5"/>
      <c r="R89" s="7"/>
      <c r="S89" s="7"/>
      <c r="T89" s="5"/>
      <c r="U89" s="6"/>
      <c r="V89" s="7"/>
      <c r="W89" s="5"/>
      <c r="X89" s="7"/>
      <c r="Y89" s="7"/>
      <c r="Z89" s="7"/>
      <c r="AA89" s="10"/>
      <c r="AB89" s="11"/>
      <c r="AC89" s="10"/>
      <c r="AD89" s="12"/>
      <c r="AE89" s="12"/>
      <c r="AF89" s="12"/>
      <c r="AG89" s="7"/>
      <c r="AH89" s="7"/>
      <c r="AI89" s="5" t="s">
        <v>365</v>
      </c>
    </row>
    <row r="90" customFormat="false" ht="15" hidden="false" customHeight="false" outlineLevel="0" collapsed="false">
      <c r="A90" s="5" t="s">
        <v>58</v>
      </c>
      <c r="B90" s="5" t="s">
        <v>366</v>
      </c>
      <c r="C90" s="5" t="s">
        <v>366</v>
      </c>
      <c r="D90" s="5" t="s">
        <v>58</v>
      </c>
      <c r="E90" s="5" t="s">
        <v>59</v>
      </c>
      <c r="F90" s="6" t="n">
        <v>20286.78</v>
      </c>
      <c r="G90" s="7" t="n">
        <v>1142</v>
      </c>
      <c r="H90" s="8" t="n">
        <v>0.1983</v>
      </c>
      <c r="I90" s="8" t="n">
        <v>0.0876</v>
      </c>
      <c r="J90" s="7" t="n">
        <v>153</v>
      </c>
      <c r="K90" s="5" t="n">
        <v>26</v>
      </c>
      <c r="L90" s="5" t="n">
        <v>483</v>
      </c>
      <c r="M90" s="5" t="n">
        <v>4.1</v>
      </c>
      <c r="N90" s="9" t="s">
        <v>53</v>
      </c>
      <c r="O90" s="5"/>
      <c r="P90" s="5"/>
      <c r="Q90" s="5"/>
      <c r="R90" s="7"/>
      <c r="S90" s="7"/>
      <c r="T90" s="5"/>
      <c r="U90" s="6"/>
      <c r="V90" s="7"/>
      <c r="W90" s="5"/>
      <c r="X90" s="7"/>
      <c r="Y90" s="7"/>
      <c r="Z90" s="7"/>
      <c r="AA90" s="10"/>
      <c r="AB90" s="11"/>
      <c r="AC90" s="10"/>
      <c r="AD90" s="12"/>
      <c r="AE90" s="12"/>
      <c r="AF90" s="12"/>
      <c r="AG90" s="7"/>
      <c r="AH90" s="7"/>
      <c r="AI90" s="5" t="s">
        <v>367</v>
      </c>
    </row>
    <row r="91" customFormat="false" ht="15" hidden="false" customHeight="false" outlineLevel="0" collapsed="false">
      <c r="A91" s="5" t="s">
        <v>58</v>
      </c>
      <c r="B91" s="5" t="s">
        <v>368</v>
      </c>
      <c r="C91" s="5" t="s">
        <v>369</v>
      </c>
      <c r="D91" s="5" t="s">
        <v>58</v>
      </c>
      <c r="E91" s="5" t="s">
        <v>59</v>
      </c>
      <c r="F91" s="6" t="n">
        <v>20211.43</v>
      </c>
      <c r="G91" s="7" t="n">
        <v>1081</v>
      </c>
      <c r="H91" s="8" t="n">
        <v>1.764</v>
      </c>
      <c r="I91" s="8" t="n">
        <v>0.9304</v>
      </c>
      <c r="J91" s="7" t="n">
        <v>231</v>
      </c>
      <c r="K91" s="5" t="n">
        <v>31</v>
      </c>
      <c r="L91" s="5" t="n">
        <v>355</v>
      </c>
      <c r="M91" s="5" t="n">
        <v>3.9</v>
      </c>
      <c r="N91" s="9" t="s">
        <v>53</v>
      </c>
      <c r="O91" s="5"/>
      <c r="P91" s="5" t="s">
        <v>370</v>
      </c>
      <c r="Q91" s="14" t="s">
        <v>371</v>
      </c>
      <c r="R91" s="7" t="n">
        <v>2807</v>
      </c>
      <c r="S91" s="7" t="n">
        <v>122</v>
      </c>
      <c r="T91" s="5" t="s">
        <v>372</v>
      </c>
      <c r="U91" s="6" t="n">
        <v>1773689.27</v>
      </c>
      <c r="V91" s="7" t="n">
        <v>136451</v>
      </c>
      <c r="W91" s="5" t="n">
        <v>1448</v>
      </c>
      <c r="X91" s="7" t="n">
        <v>2877</v>
      </c>
      <c r="Y91" s="7" t="n">
        <v>7379</v>
      </c>
      <c r="Z91" s="7" t="n">
        <v>2318</v>
      </c>
      <c r="AA91" s="10" t="n">
        <v>1.99</v>
      </c>
      <c r="AB91" s="11" t="n">
        <v>883</v>
      </c>
      <c r="AC91" s="10" t="n">
        <v>13.46</v>
      </c>
      <c r="AD91" s="12" t="n">
        <v>0.86</v>
      </c>
      <c r="AE91" s="12" t="n">
        <v>0.81</v>
      </c>
      <c r="AF91" s="12" t="n">
        <v>0.98</v>
      </c>
      <c r="AG91" s="7" t="n">
        <v>202</v>
      </c>
      <c r="AH91" s="7" t="n">
        <v>1117</v>
      </c>
      <c r="AI91" s="5" t="s">
        <v>373</v>
      </c>
    </row>
    <row r="92" customFormat="false" ht="15" hidden="false" customHeight="false" outlineLevel="0" collapsed="false">
      <c r="A92" s="5" t="s">
        <v>58</v>
      </c>
      <c r="B92" s="5" t="s">
        <v>374</v>
      </c>
      <c r="C92" s="5" t="s">
        <v>374</v>
      </c>
      <c r="D92" s="5" t="s">
        <v>58</v>
      </c>
      <c r="E92" s="5" t="s">
        <v>59</v>
      </c>
      <c r="F92" s="6" t="n">
        <v>20097.28</v>
      </c>
      <c r="G92" s="7" t="n">
        <v>2748</v>
      </c>
      <c r="H92" s="8" t="n">
        <v>1.4862</v>
      </c>
      <c r="I92" s="8" t="n">
        <v>1.7127</v>
      </c>
      <c r="J92" s="7" t="n">
        <v>198</v>
      </c>
      <c r="K92" s="5" t="n">
        <v>11</v>
      </c>
      <c r="L92" s="5" t="n">
        <v>30</v>
      </c>
      <c r="M92" s="5" t="n">
        <v>1.9</v>
      </c>
      <c r="N92" s="9" t="s">
        <v>53</v>
      </c>
      <c r="O92" s="5"/>
      <c r="P92" s="5" t="s">
        <v>375</v>
      </c>
      <c r="Q92" s="14" t="s">
        <v>376</v>
      </c>
      <c r="R92" s="7" t="n">
        <v>4751</v>
      </c>
      <c r="S92" s="7" t="n">
        <v>0</v>
      </c>
      <c r="T92" s="5" t="s">
        <v>377</v>
      </c>
      <c r="U92" s="6" t="n">
        <v>2780264.48</v>
      </c>
      <c r="V92" s="7" t="n">
        <v>335926</v>
      </c>
      <c r="W92" s="5" t="n">
        <v>588</v>
      </c>
      <c r="X92" s="7" t="n">
        <v>4861</v>
      </c>
      <c r="Y92" s="7" t="n">
        <v>6080</v>
      </c>
      <c r="Z92" s="7" t="n">
        <v>2615</v>
      </c>
      <c r="AA92" s="10" t="n">
        <v>0.45</v>
      </c>
      <c r="AB92" s="11" t="n">
        <v>169.99</v>
      </c>
      <c r="AC92" s="10" t="n">
        <v>6.17</v>
      </c>
      <c r="AD92" s="12" t="n">
        <v>0.61</v>
      </c>
      <c r="AE92" s="12" t="n">
        <v>0.75</v>
      </c>
      <c r="AF92" s="12" t="n">
        <v>0.89</v>
      </c>
      <c r="AG92" s="7" t="n">
        <v>118</v>
      </c>
      <c r="AH92" s="7" t="n">
        <v>1625</v>
      </c>
      <c r="AI92" s="5" t="s">
        <v>378</v>
      </c>
    </row>
    <row r="93" customFormat="false" ht="15" hidden="false" customHeight="false" outlineLevel="0" collapsed="false">
      <c r="A93" s="5" t="s">
        <v>58</v>
      </c>
      <c r="B93" s="5" t="s">
        <v>379</v>
      </c>
      <c r="C93" s="5" t="s">
        <v>380</v>
      </c>
      <c r="D93" s="5" t="s">
        <v>381</v>
      </c>
      <c r="E93" s="5" t="s">
        <v>59</v>
      </c>
      <c r="F93" s="6" t="n">
        <v>19991.99</v>
      </c>
      <c r="G93" s="7" t="n">
        <v>1716</v>
      </c>
      <c r="H93" s="8" t="n">
        <v>2.5955</v>
      </c>
      <c r="I93" s="8" t="n">
        <v>2.3385</v>
      </c>
      <c r="J93" s="7" t="n">
        <v>133</v>
      </c>
      <c r="K93" s="5" t="n">
        <v>36</v>
      </c>
      <c r="L93" s="5" t="n">
        <v>322</v>
      </c>
      <c r="M93" s="5" t="n">
        <v>4.4</v>
      </c>
      <c r="N93" s="13" t="s">
        <v>60</v>
      </c>
      <c r="O93" s="5"/>
      <c r="P93" s="5"/>
      <c r="Q93" s="5"/>
      <c r="R93" s="7"/>
      <c r="S93" s="7"/>
      <c r="T93" s="5"/>
      <c r="U93" s="6"/>
      <c r="V93" s="7"/>
      <c r="W93" s="5"/>
      <c r="X93" s="7"/>
      <c r="Y93" s="7"/>
      <c r="Z93" s="7"/>
      <c r="AA93" s="10"/>
      <c r="AB93" s="11"/>
      <c r="AC93" s="10"/>
      <c r="AD93" s="12"/>
      <c r="AE93" s="12"/>
      <c r="AF93" s="12"/>
      <c r="AG93" s="7"/>
      <c r="AH93" s="7"/>
      <c r="AI93" s="5" t="s">
        <v>382</v>
      </c>
    </row>
    <row r="94" customFormat="false" ht="15" hidden="false" customHeight="false" outlineLevel="0" collapsed="false">
      <c r="A94" s="5" t="s">
        <v>58</v>
      </c>
      <c r="B94" s="5" t="s">
        <v>383</v>
      </c>
      <c r="C94" s="5" t="s">
        <v>384</v>
      </c>
      <c r="D94" s="5" t="s">
        <v>58</v>
      </c>
      <c r="E94" s="5" t="s">
        <v>52</v>
      </c>
      <c r="F94" s="6" t="n">
        <v>19736.15</v>
      </c>
      <c r="G94" s="7" t="n">
        <v>7682</v>
      </c>
      <c r="H94" s="8" t="n">
        <v>0.056</v>
      </c>
      <c r="I94" s="8" t="n">
        <v>-0.0018</v>
      </c>
      <c r="J94" s="7" t="n">
        <v>460</v>
      </c>
      <c r="K94" s="5" t="n">
        <v>38</v>
      </c>
      <c r="L94" s="5" t="n">
        <v>43</v>
      </c>
      <c r="M94" s="5" t="n">
        <v>5</v>
      </c>
      <c r="N94" s="9" t="s">
        <v>53</v>
      </c>
      <c r="O94" s="5"/>
      <c r="P94" s="5"/>
      <c r="Q94" s="5"/>
      <c r="R94" s="7"/>
      <c r="S94" s="7"/>
      <c r="T94" s="5"/>
      <c r="U94" s="6"/>
      <c r="V94" s="7"/>
      <c r="W94" s="5"/>
      <c r="X94" s="7"/>
      <c r="Y94" s="7"/>
      <c r="Z94" s="7"/>
      <c r="AA94" s="10"/>
      <c r="AB94" s="11"/>
      <c r="AC94" s="10"/>
      <c r="AD94" s="12"/>
      <c r="AE94" s="12"/>
      <c r="AF94" s="12"/>
      <c r="AG94" s="7"/>
      <c r="AH94" s="7"/>
      <c r="AI94" s="5" t="s">
        <v>385</v>
      </c>
    </row>
    <row r="95" customFormat="false" ht="15" hidden="false" customHeight="false" outlineLevel="0" collapsed="false">
      <c r="A95" s="5" t="s">
        <v>58</v>
      </c>
      <c r="B95" s="5" t="s">
        <v>386</v>
      </c>
      <c r="C95" s="5"/>
      <c r="D95" s="5" t="s">
        <v>58</v>
      </c>
      <c r="E95" s="5" t="s">
        <v>52</v>
      </c>
      <c r="F95" s="6" t="n">
        <v>13416.19</v>
      </c>
      <c r="G95" s="7" t="n">
        <v>420</v>
      </c>
      <c r="H95" s="8" t="n">
        <v>0.5941</v>
      </c>
      <c r="I95" s="8" t="n">
        <v>0.4483</v>
      </c>
      <c r="J95" s="7" t="n">
        <v>172</v>
      </c>
      <c r="K95" s="5" t="n">
        <v>10</v>
      </c>
      <c r="L95" s="5" t="n">
        <v>16</v>
      </c>
      <c r="M95" s="5" t="n">
        <v>3.9</v>
      </c>
      <c r="N95" s="9" t="s">
        <v>53</v>
      </c>
      <c r="O95" s="5"/>
      <c r="P95" s="5"/>
      <c r="Q95" s="5"/>
      <c r="R95" s="7"/>
      <c r="S95" s="7"/>
      <c r="T95" s="5"/>
      <c r="U95" s="6"/>
      <c r="V95" s="7"/>
      <c r="W95" s="5"/>
      <c r="X95" s="7"/>
      <c r="Y95" s="7"/>
      <c r="Z95" s="7"/>
      <c r="AA95" s="10"/>
      <c r="AB95" s="11"/>
      <c r="AC95" s="10"/>
      <c r="AD95" s="12"/>
      <c r="AE95" s="12"/>
      <c r="AF95" s="12"/>
      <c r="AG95" s="7"/>
      <c r="AH95" s="7"/>
      <c r="AI95" s="5" t="s">
        <v>387</v>
      </c>
    </row>
    <row r="96" customFormat="false" ht="15" hidden="false" customHeight="false" outlineLevel="0" collapsed="false">
      <c r="A96" s="5" t="s">
        <v>381</v>
      </c>
      <c r="B96" s="5" t="s">
        <v>388</v>
      </c>
      <c r="C96" s="5" t="s">
        <v>389</v>
      </c>
      <c r="D96" s="5" t="s">
        <v>90</v>
      </c>
      <c r="E96" s="5" t="s">
        <v>59</v>
      </c>
      <c r="F96" s="6" t="n">
        <v>13233.3</v>
      </c>
      <c r="G96" s="7" t="n">
        <v>880</v>
      </c>
      <c r="H96" s="8" t="n">
        <v>-0.1055</v>
      </c>
      <c r="I96" s="8" t="n">
        <v>-0.2233</v>
      </c>
      <c r="J96" s="7" t="n">
        <v>121</v>
      </c>
      <c r="K96" s="5" t="n">
        <v>6</v>
      </c>
      <c r="L96" s="5" t="n">
        <v>10</v>
      </c>
      <c r="M96" s="5" t="n">
        <v>4.2</v>
      </c>
      <c r="N96" s="13" t="s">
        <v>60</v>
      </c>
      <c r="O96" s="5"/>
      <c r="P96" s="5"/>
      <c r="Q96" s="5"/>
      <c r="R96" s="7"/>
      <c r="S96" s="7"/>
      <c r="T96" s="5"/>
      <c r="U96" s="6"/>
      <c r="V96" s="7"/>
      <c r="W96" s="5"/>
      <c r="X96" s="7"/>
      <c r="Y96" s="7"/>
      <c r="Z96" s="7"/>
      <c r="AA96" s="10"/>
      <c r="AB96" s="11"/>
      <c r="AC96" s="10"/>
      <c r="AD96" s="12"/>
      <c r="AE96" s="12"/>
      <c r="AF96" s="12"/>
      <c r="AG96" s="7"/>
      <c r="AH96" s="7"/>
      <c r="AI96" s="5" t="s">
        <v>390</v>
      </c>
    </row>
    <row r="97" customFormat="false" ht="15" hidden="false" customHeight="false" outlineLevel="0" collapsed="false">
      <c r="A97" s="5" t="s">
        <v>381</v>
      </c>
      <c r="B97" s="5" t="s">
        <v>391</v>
      </c>
      <c r="C97" s="5"/>
      <c r="D97" s="5" t="s">
        <v>90</v>
      </c>
      <c r="E97" s="5" t="s">
        <v>59</v>
      </c>
      <c r="F97" s="6" t="n">
        <v>13008.48</v>
      </c>
      <c r="G97" s="7" t="n">
        <v>717</v>
      </c>
      <c r="H97" s="8" t="n">
        <v>-0.4566</v>
      </c>
      <c r="I97" s="8" t="n">
        <v>-0.5782</v>
      </c>
      <c r="J97" s="7" t="n">
        <v>47</v>
      </c>
      <c r="K97" s="5" t="n">
        <v>17</v>
      </c>
      <c r="L97" s="5" t="n">
        <v>302</v>
      </c>
      <c r="M97" s="5" t="n">
        <v>3.1</v>
      </c>
      <c r="N97" s="13" t="s">
        <v>60</v>
      </c>
      <c r="O97" s="5"/>
      <c r="P97" s="5"/>
      <c r="Q97" s="5"/>
      <c r="R97" s="7"/>
      <c r="S97" s="7"/>
      <c r="T97" s="5"/>
      <c r="U97" s="6"/>
      <c r="V97" s="7"/>
      <c r="W97" s="5"/>
      <c r="X97" s="7"/>
      <c r="Y97" s="7"/>
      <c r="Z97" s="7"/>
      <c r="AA97" s="10"/>
      <c r="AB97" s="11"/>
      <c r="AC97" s="10"/>
      <c r="AD97" s="12"/>
      <c r="AE97" s="12"/>
      <c r="AF97" s="12"/>
      <c r="AG97" s="7"/>
      <c r="AH97" s="7"/>
      <c r="AI97" s="5" t="s">
        <v>392</v>
      </c>
    </row>
    <row r="98" customFormat="false" ht="15" hidden="false" customHeight="false" outlineLevel="0" collapsed="false">
      <c r="A98" s="5" t="s">
        <v>381</v>
      </c>
      <c r="B98" s="5" t="s">
        <v>393</v>
      </c>
      <c r="C98" s="5" t="s">
        <v>393</v>
      </c>
      <c r="D98" s="5" t="s">
        <v>381</v>
      </c>
      <c r="E98" s="5" t="s">
        <v>59</v>
      </c>
      <c r="F98" s="6" t="n">
        <v>12979.81</v>
      </c>
      <c r="G98" s="7" t="n">
        <v>477</v>
      </c>
      <c r="H98" s="8" t="n">
        <v>-0.4915</v>
      </c>
      <c r="I98" s="8" t="n">
        <v>-0.4622</v>
      </c>
      <c r="J98" s="7" t="n">
        <v>77</v>
      </c>
      <c r="K98" s="5" t="n">
        <v>9</v>
      </c>
      <c r="L98" s="5" t="n">
        <v>9</v>
      </c>
      <c r="M98" s="5" t="n">
        <v>4.3</v>
      </c>
      <c r="N98" s="9" t="s">
        <v>53</v>
      </c>
      <c r="O98" s="5"/>
      <c r="P98" s="5" t="s">
        <v>394</v>
      </c>
      <c r="Q98" s="14" t="s">
        <v>395</v>
      </c>
      <c r="R98" s="7" t="n">
        <v>619</v>
      </c>
      <c r="S98" s="7" t="n">
        <v>197</v>
      </c>
      <c r="T98" s="5" t="s">
        <v>396</v>
      </c>
      <c r="U98" s="6" t="n">
        <v>291452.76</v>
      </c>
      <c r="V98" s="7" t="n">
        <v>18041</v>
      </c>
      <c r="W98" s="5" t="n">
        <v>103</v>
      </c>
      <c r="X98" s="7" t="n">
        <v>469</v>
      </c>
      <c r="Y98" s="7" t="n">
        <v>1136</v>
      </c>
      <c r="Z98" s="7" t="n">
        <v>865</v>
      </c>
      <c r="AA98" s="10" t="n">
        <v>0.69</v>
      </c>
      <c r="AB98" s="11" t="n">
        <v>75.88</v>
      </c>
      <c r="AC98" s="10" t="n">
        <v>13.18</v>
      </c>
      <c r="AD98" s="12" t="n">
        <v>0.61</v>
      </c>
      <c r="AE98" s="12" t="n">
        <v>0.84</v>
      </c>
      <c r="AF98" s="12" t="n">
        <v>1</v>
      </c>
      <c r="AG98" s="7" t="n">
        <v>96</v>
      </c>
      <c r="AH98" s="7" t="n">
        <v>3017</v>
      </c>
      <c r="AI98" s="5" t="s">
        <v>397</v>
      </c>
    </row>
    <row r="99" customFormat="false" ht="15" hidden="false" customHeight="false" outlineLevel="0" collapsed="false">
      <c r="A99" s="5" t="s">
        <v>381</v>
      </c>
      <c r="B99" s="5" t="s">
        <v>398</v>
      </c>
      <c r="C99" s="5"/>
      <c r="D99" s="5" t="s">
        <v>381</v>
      </c>
      <c r="E99" s="5" t="s">
        <v>59</v>
      </c>
      <c r="F99" s="6" t="n">
        <v>12978.01</v>
      </c>
      <c r="G99" s="7" t="n">
        <v>475</v>
      </c>
      <c r="H99" s="8" t="n">
        <v>0.4803</v>
      </c>
      <c r="I99" s="8" t="n">
        <v>1.0386</v>
      </c>
      <c r="J99" s="7" t="n">
        <v>90</v>
      </c>
      <c r="K99" s="5" t="n">
        <v>7</v>
      </c>
      <c r="L99" s="5" t="n">
        <v>36</v>
      </c>
      <c r="M99" s="5" t="n">
        <v>4.5</v>
      </c>
      <c r="N99" s="9" t="s">
        <v>53</v>
      </c>
      <c r="O99" s="5"/>
      <c r="P99" s="5" t="s">
        <v>399</v>
      </c>
      <c r="Q99" s="14" t="s">
        <v>400</v>
      </c>
      <c r="R99" s="7" t="n">
        <v>21376</v>
      </c>
      <c r="S99" s="7" t="n">
        <v>216</v>
      </c>
      <c r="T99" s="5" t="s">
        <v>401</v>
      </c>
      <c r="U99" s="6" t="n">
        <v>70412.25</v>
      </c>
      <c r="V99" s="7" t="n">
        <v>4214</v>
      </c>
      <c r="W99" s="5" t="n">
        <v>175</v>
      </c>
      <c r="X99" s="7" t="n">
        <v>167</v>
      </c>
      <c r="Y99" s="7" t="n">
        <v>1000</v>
      </c>
      <c r="Z99" s="7" t="n">
        <v>21</v>
      </c>
      <c r="AA99" s="10" t="n">
        <v>0.98</v>
      </c>
      <c r="AB99" s="11" t="n">
        <v>146.98</v>
      </c>
      <c r="AC99" s="10" t="n">
        <v>17.72</v>
      </c>
      <c r="AD99" s="12"/>
      <c r="AE99" s="12"/>
      <c r="AF99" s="12"/>
      <c r="AG99" s="7" t="n">
        <v>40</v>
      </c>
      <c r="AH99" s="7" t="n">
        <v>2831</v>
      </c>
      <c r="AI99" s="5" t="s">
        <v>402</v>
      </c>
    </row>
    <row r="100" customFormat="false" ht="15" hidden="false" customHeight="false" outlineLevel="0" collapsed="false">
      <c r="A100" s="5" t="s">
        <v>381</v>
      </c>
      <c r="B100" s="5" t="s">
        <v>403</v>
      </c>
      <c r="C100" s="5"/>
      <c r="D100" s="5" t="s">
        <v>404</v>
      </c>
      <c r="E100" s="5" t="s">
        <v>59</v>
      </c>
      <c r="F100" s="6" t="n">
        <v>12744.27</v>
      </c>
      <c r="G100" s="7" t="n">
        <v>227</v>
      </c>
      <c r="H100" s="8" t="n">
        <v>0</v>
      </c>
      <c r="I100" s="8" t="n">
        <v>0</v>
      </c>
      <c r="J100" s="7" t="n">
        <v>50</v>
      </c>
      <c r="K100" s="5" t="n">
        <v>3</v>
      </c>
      <c r="L100" s="5" t="n">
        <v>29</v>
      </c>
      <c r="M100" s="5" t="n">
        <v>4.2</v>
      </c>
      <c r="N100" s="13" t="s">
        <v>60</v>
      </c>
      <c r="O100" s="5"/>
      <c r="P100" s="5"/>
      <c r="Q100" s="5"/>
      <c r="R100" s="7"/>
      <c r="S100" s="7"/>
      <c r="T100" s="5"/>
      <c r="U100" s="6"/>
      <c r="V100" s="7"/>
      <c r="W100" s="5"/>
      <c r="X100" s="7"/>
      <c r="Y100" s="7"/>
      <c r="Z100" s="7"/>
      <c r="AA100" s="10"/>
      <c r="AB100" s="11"/>
      <c r="AC100" s="10"/>
      <c r="AD100" s="12"/>
      <c r="AE100" s="12"/>
      <c r="AF100" s="12"/>
      <c r="AG100" s="7"/>
      <c r="AH100" s="7"/>
      <c r="AI100" s="5" t="s">
        <v>405</v>
      </c>
    </row>
    <row r="101" customFormat="false" ht="15" hidden="false" customHeight="false" outlineLevel="0" collapsed="false">
      <c r="A101" s="5" t="s">
        <v>381</v>
      </c>
      <c r="B101" s="5" t="s">
        <v>406</v>
      </c>
      <c r="C101" s="5" t="s">
        <v>407</v>
      </c>
      <c r="D101" s="5" t="s">
        <v>381</v>
      </c>
      <c r="E101" s="5" t="s">
        <v>52</v>
      </c>
      <c r="F101" s="6" t="n">
        <v>12421.7</v>
      </c>
      <c r="G101" s="7" t="n">
        <v>1154</v>
      </c>
      <c r="H101" s="8" t="n">
        <v>-0.328</v>
      </c>
      <c r="I101" s="8" t="n">
        <v>-0.2841</v>
      </c>
      <c r="J101" s="7" t="n">
        <v>265</v>
      </c>
      <c r="K101" s="5" t="n">
        <v>29</v>
      </c>
      <c r="L101" s="5" t="n">
        <v>111</v>
      </c>
      <c r="M101" s="5" t="n">
        <v>3.2</v>
      </c>
      <c r="N101" s="9" t="s">
        <v>53</v>
      </c>
      <c r="O101" s="5"/>
      <c r="P101" s="5"/>
      <c r="Q101" s="5"/>
      <c r="R101" s="7"/>
      <c r="S101" s="7"/>
      <c r="T101" s="5"/>
      <c r="U101" s="6"/>
      <c r="V101" s="7"/>
      <c r="W101" s="5"/>
      <c r="X101" s="7"/>
      <c r="Y101" s="7"/>
      <c r="Z101" s="7"/>
      <c r="AA101" s="10"/>
      <c r="AB101" s="11"/>
      <c r="AC101" s="10"/>
      <c r="AD101" s="12"/>
      <c r="AE101" s="12"/>
      <c r="AF101" s="12"/>
      <c r="AG101" s="7"/>
      <c r="AH101" s="7"/>
      <c r="AI101" s="5" t="s">
        <v>408</v>
      </c>
    </row>
    <row r="102" customFormat="false" ht="15" hidden="false" customHeight="false" outlineLevel="0" collapsed="false">
      <c r="A102" s="5" t="s">
        <v>381</v>
      </c>
      <c r="B102" s="5" t="s">
        <v>409</v>
      </c>
      <c r="C102" s="5"/>
      <c r="D102" s="5" t="s">
        <v>381</v>
      </c>
      <c r="E102" s="5" t="s">
        <v>59</v>
      </c>
      <c r="F102" s="6" t="n">
        <v>11929.44</v>
      </c>
      <c r="G102" s="7" t="n">
        <v>46</v>
      </c>
      <c r="H102" s="8" t="n">
        <v>-0.6521</v>
      </c>
      <c r="I102" s="8" t="n">
        <v>-0.7178</v>
      </c>
      <c r="J102" s="7" t="n">
        <v>36</v>
      </c>
      <c r="K102" s="5" t="n">
        <v>4</v>
      </c>
      <c r="L102" s="5" t="n">
        <v>6</v>
      </c>
      <c r="M102" s="5" t="n">
        <v>3.2</v>
      </c>
      <c r="N102" s="9" t="s">
        <v>53</v>
      </c>
      <c r="O102" s="5" t="s">
        <v>136</v>
      </c>
      <c r="P102" s="5"/>
      <c r="Q102" s="5"/>
      <c r="R102" s="7"/>
      <c r="S102" s="7"/>
      <c r="T102" s="5" t="s">
        <v>410</v>
      </c>
      <c r="U102" s="6" t="n">
        <v>57684.41</v>
      </c>
      <c r="V102" s="7" t="n">
        <v>336</v>
      </c>
      <c r="W102" s="5" t="n">
        <v>6</v>
      </c>
      <c r="X102" s="7" t="n">
        <v>105</v>
      </c>
      <c r="Y102" s="7" t="n">
        <v>215</v>
      </c>
      <c r="Z102" s="7" t="n">
        <v>101</v>
      </c>
      <c r="AA102" s="10" t="n">
        <v>35.37</v>
      </c>
      <c r="AB102" s="11" t="n">
        <v>1456.29</v>
      </c>
      <c r="AC102" s="10"/>
      <c r="AD102" s="12"/>
      <c r="AE102" s="12"/>
      <c r="AF102" s="12"/>
      <c r="AG102" s="7" t="n">
        <v>99</v>
      </c>
      <c r="AH102" s="7" t="n">
        <v>3171</v>
      </c>
      <c r="AI102" s="5" t="s">
        <v>411</v>
      </c>
    </row>
    <row r="103" customFormat="false" ht="15" hidden="false" customHeight="false" outlineLevel="0" collapsed="false">
      <c r="A103" s="5" t="s">
        <v>381</v>
      </c>
      <c r="B103" s="5" t="s">
        <v>412</v>
      </c>
      <c r="C103" s="5" t="s">
        <v>413</v>
      </c>
      <c r="D103" s="5" t="s">
        <v>381</v>
      </c>
      <c r="E103" s="5" t="s">
        <v>52</v>
      </c>
      <c r="F103" s="6" t="n">
        <v>11758.24</v>
      </c>
      <c r="G103" s="7" t="n">
        <v>132</v>
      </c>
      <c r="H103" s="8" t="n">
        <v>-0.3418</v>
      </c>
      <c r="I103" s="8" t="n">
        <v>-0.4261</v>
      </c>
      <c r="J103" s="7" t="n">
        <v>111</v>
      </c>
      <c r="K103" s="5" t="n">
        <v>4</v>
      </c>
      <c r="L103" s="5" t="n">
        <v>4</v>
      </c>
      <c r="M103" s="5" t="n">
        <v>4.3</v>
      </c>
      <c r="N103" s="9" t="s">
        <v>53</v>
      </c>
      <c r="O103" s="5"/>
      <c r="P103" s="5"/>
      <c r="Q103" s="5"/>
      <c r="R103" s="7"/>
      <c r="S103" s="7"/>
      <c r="T103" s="5"/>
      <c r="U103" s="6"/>
      <c r="V103" s="7"/>
      <c r="W103" s="5"/>
      <c r="X103" s="7"/>
      <c r="Y103" s="7"/>
      <c r="Z103" s="7"/>
      <c r="AA103" s="10"/>
      <c r="AB103" s="11"/>
      <c r="AC103" s="10"/>
      <c r="AD103" s="12"/>
      <c r="AE103" s="12"/>
      <c r="AF103" s="12"/>
      <c r="AG103" s="7"/>
      <c r="AH103" s="7"/>
      <c r="AI103" s="5" t="s">
        <v>414</v>
      </c>
    </row>
    <row r="104" customFormat="false" ht="15" hidden="false" customHeight="false" outlineLevel="0" collapsed="false">
      <c r="A104" s="5" t="s">
        <v>381</v>
      </c>
      <c r="B104" s="5" t="s">
        <v>415</v>
      </c>
      <c r="C104" s="5" t="s">
        <v>416</v>
      </c>
      <c r="D104" s="5" t="s">
        <v>58</v>
      </c>
      <c r="E104" s="5" t="s">
        <v>59</v>
      </c>
      <c r="F104" s="6" t="n">
        <v>10626.76</v>
      </c>
      <c r="G104" s="7" t="n">
        <v>663</v>
      </c>
      <c r="H104" s="8" t="n">
        <v>0.3524</v>
      </c>
      <c r="I104" s="8" t="n">
        <v>0.5674</v>
      </c>
      <c r="J104" s="7" t="n">
        <v>47</v>
      </c>
      <c r="K104" s="5" t="n">
        <v>5</v>
      </c>
      <c r="L104" s="5" t="n">
        <v>257</v>
      </c>
      <c r="M104" s="5" t="n">
        <v>3.1</v>
      </c>
      <c r="N104" s="15" t="s">
        <v>111</v>
      </c>
      <c r="O104" s="5" t="s">
        <v>417</v>
      </c>
      <c r="P104" s="5"/>
      <c r="Q104" s="5"/>
      <c r="R104" s="7"/>
      <c r="S104" s="7"/>
      <c r="T104" s="5"/>
      <c r="U104" s="6"/>
      <c r="V104" s="7"/>
      <c r="W104" s="5"/>
      <c r="X104" s="7"/>
      <c r="Y104" s="7"/>
      <c r="Z104" s="7"/>
      <c r="AA104" s="10"/>
      <c r="AB104" s="11"/>
      <c r="AC104" s="10"/>
      <c r="AD104" s="12"/>
      <c r="AE104" s="12"/>
      <c r="AF104" s="12"/>
      <c r="AG104" s="7"/>
      <c r="AH104" s="7"/>
      <c r="AI104" s="5" t="s">
        <v>418</v>
      </c>
    </row>
    <row r="105" customFormat="false" ht="15" hidden="false" customHeight="false" outlineLevel="0" collapsed="false">
      <c r="A105" s="5" t="s">
        <v>419</v>
      </c>
      <c r="B105" s="5" t="s">
        <v>420</v>
      </c>
      <c r="C105" s="5"/>
      <c r="D105" s="5" t="s">
        <v>421</v>
      </c>
      <c r="E105" s="5" t="s">
        <v>59</v>
      </c>
      <c r="F105" s="6" t="n">
        <v>18765.38</v>
      </c>
      <c r="G105" s="7" t="n">
        <v>530</v>
      </c>
      <c r="H105" s="8" t="n">
        <v>0</v>
      </c>
      <c r="I105" s="8" t="n">
        <v>0</v>
      </c>
      <c r="J105" s="7" t="n">
        <v>126</v>
      </c>
      <c r="K105" s="5" t="n">
        <v>2</v>
      </c>
      <c r="L105" s="5" t="n">
        <v>49</v>
      </c>
      <c r="M105" s="5" t="n">
        <v>4.7</v>
      </c>
      <c r="N105" s="13" t="s">
        <v>60</v>
      </c>
      <c r="O105" s="5"/>
      <c r="P105" s="5"/>
      <c r="Q105" s="5"/>
      <c r="R105" s="7"/>
      <c r="S105" s="7"/>
      <c r="T105" s="5"/>
      <c r="U105" s="6"/>
      <c r="V105" s="7"/>
      <c r="W105" s="5"/>
      <c r="X105" s="7"/>
      <c r="Y105" s="7"/>
      <c r="Z105" s="7"/>
      <c r="AA105" s="10"/>
      <c r="AB105" s="11"/>
      <c r="AC105" s="10"/>
      <c r="AD105" s="12"/>
      <c r="AE105" s="12"/>
      <c r="AF105" s="12"/>
      <c r="AG105" s="7"/>
      <c r="AH105" s="7"/>
      <c r="AI105" s="5" t="s">
        <v>422</v>
      </c>
    </row>
    <row r="106" customFormat="false" ht="15" hidden="false" customHeight="false" outlineLevel="0" collapsed="false">
      <c r="A106" s="5" t="s">
        <v>419</v>
      </c>
      <c r="B106" s="5" t="s">
        <v>423</v>
      </c>
      <c r="C106" s="5" t="s">
        <v>424</v>
      </c>
      <c r="D106" s="5" t="s">
        <v>419</v>
      </c>
      <c r="E106" s="5" t="s">
        <v>52</v>
      </c>
      <c r="F106" s="6" t="n">
        <v>17076.03</v>
      </c>
      <c r="G106" s="7" t="n">
        <v>719</v>
      </c>
      <c r="H106" s="8" t="n">
        <v>-0.5352</v>
      </c>
      <c r="I106" s="8" t="n">
        <v>-0.5997</v>
      </c>
      <c r="J106" s="7" t="n">
        <v>600</v>
      </c>
      <c r="K106" s="5" t="n">
        <v>47</v>
      </c>
      <c r="L106" s="5" t="n">
        <v>398</v>
      </c>
      <c r="M106" s="5" t="n">
        <v>4.4</v>
      </c>
      <c r="N106" s="9" t="s">
        <v>53</v>
      </c>
      <c r="O106" s="5"/>
      <c r="P106" s="5"/>
      <c r="Q106" s="5"/>
      <c r="R106" s="7"/>
      <c r="S106" s="7"/>
      <c r="T106" s="5"/>
      <c r="U106" s="6"/>
      <c r="V106" s="7"/>
      <c r="W106" s="5"/>
      <c r="X106" s="7"/>
      <c r="Y106" s="7"/>
      <c r="Z106" s="7"/>
      <c r="AA106" s="10"/>
      <c r="AB106" s="11"/>
      <c r="AC106" s="10"/>
      <c r="AD106" s="12"/>
      <c r="AE106" s="12"/>
      <c r="AF106" s="12"/>
      <c r="AG106" s="7"/>
      <c r="AH106" s="7"/>
      <c r="AI106" s="5" t="s">
        <v>425</v>
      </c>
    </row>
    <row r="107" customFormat="false" ht="15" hidden="false" customHeight="false" outlineLevel="0" collapsed="false">
      <c r="A107" s="5" t="s">
        <v>419</v>
      </c>
      <c r="B107" s="5" t="s">
        <v>426</v>
      </c>
      <c r="C107" s="5" t="s">
        <v>427</v>
      </c>
      <c r="D107" s="5" t="s">
        <v>428</v>
      </c>
      <c r="E107" s="5" t="s">
        <v>59</v>
      </c>
      <c r="F107" s="6" t="n">
        <v>16090.22</v>
      </c>
      <c r="G107" s="7" t="n">
        <v>661</v>
      </c>
      <c r="H107" s="8" t="n">
        <v>-0.1823</v>
      </c>
      <c r="I107" s="8" t="n">
        <v>-0.1738</v>
      </c>
      <c r="J107" s="7" t="n">
        <v>64</v>
      </c>
      <c r="K107" s="5" t="n">
        <v>201</v>
      </c>
      <c r="L107" s="5" t="n">
        <v>3796</v>
      </c>
      <c r="M107" s="5" t="n">
        <v>4.2</v>
      </c>
      <c r="N107" s="13" t="s">
        <v>60</v>
      </c>
      <c r="O107" s="5"/>
      <c r="P107" s="5"/>
      <c r="Q107" s="5"/>
      <c r="R107" s="7"/>
      <c r="S107" s="7"/>
      <c r="T107" s="5"/>
      <c r="U107" s="6"/>
      <c r="V107" s="7"/>
      <c r="W107" s="5"/>
      <c r="X107" s="7"/>
      <c r="Y107" s="7"/>
      <c r="Z107" s="7"/>
      <c r="AA107" s="10"/>
      <c r="AB107" s="11"/>
      <c r="AC107" s="10"/>
      <c r="AD107" s="12"/>
      <c r="AE107" s="12"/>
      <c r="AF107" s="12"/>
      <c r="AG107" s="7"/>
      <c r="AH107" s="7"/>
      <c r="AI107" s="5" t="s">
        <v>429</v>
      </c>
    </row>
    <row r="108" customFormat="false" ht="15" hidden="false" customHeight="false" outlineLevel="0" collapsed="false">
      <c r="A108" s="5" t="s">
        <v>419</v>
      </c>
      <c r="B108" s="5" t="s">
        <v>430</v>
      </c>
      <c r="C108" s="5" t="s">
        <v>431</v>
      </c>
      <c r="D108" s="5" t="s">
        <v>419</v>
      </c>
      <c r="E108" s="5" t="s">
        <v>59</v>
      </c>
      <c r="F108" s="6" t="n">
        <v>16010.82</v>
      </c>
      <c r="G108" s="7" t="n">
        <v>496</v>
      </c>
      <c r="H108" s="8" t="n">
        <v>32.6872</v>
      </c>
      <c r="I108" s="8" t="n">
        <v>28.1765</v>
      </c>
      <c r="J108" s="7" t="n">
        <v>120</v>
      </c>
      <c r="K108" s="5" t="n">
        <v>32</v>
      </c>
      <c r="L108" s="5" t="n">
        <v>699</v>
      </c>
      <c r="M108" s="5" t="n">
        <v>4.4</v>
      </c>
      <c r="N108" s="9" t="s">
        <v>53</v>
      </c>
      <c r="O108" s="5"/>
      <c r="P108" s="5" t="s">
        <v>432</v>
      </c>
      <c r="Q108" s="14" t="s">
        <v>433</v>
      </c>
      <c r="R108" s="7" t="n">
        <v>15464</v>
      </c>
      <c r="S108" s="7" t="n">
        <v>1021</v>
      </c>
      <c r="T108" s="5" t="s">
        <v>434</v>
      </c>
      <c r="U108" s="6" t="n">
        <v>132257.11</v>
      </c>
      <c r="V108" s="7" t="n">
        <v>4739</v>
      </c>
      <c r="W108" s="5" t="n">
        <v>777</v>
      </c>
      <c r="X108" s="7" t="n">
        <v>1094</v>
      </c>
      <c r="Y108" s="7" t="n">
        <v>1967</v>
      </c>
      <c r="Z108" s="7" t="n">
        <v>273</v>
      </c>
      <c r="AA108" s="10" t="n">
        <v>11.68</v>
      </c>
      <c r="AB108" s="11" t="n">
        <v>115.34</v>
      </c>
      <c r="AC108" s="10" t="n">
        <v>33</v>
      </c>
      <c r="AD108" s="12" t="n">
        <v>0.61</v>
      </c>
      <c r="AE108" s="12" t="n">
        <v>0.88</v>
      </c>
      <c r="AF108" s="12" t="n">
        <v>1</v>
      </c>
      <c r="AG108" s="7" t="n">
        <v>17</v>
      </c>
      <c r="AH108" s="7" t="n">
        <v>1830</v>
      </c>
      <c r="AI108" s="5" t="s">
        <v>435</v>
      </c>
    </row>
    <row r="109" customFormat="false" ht="15" hidden="false" customHeight="false" outlineLevel="0" collapsed="false">
      <c r="A109" s="5" t="s">
        <v>419</v>
      </c>
      <c r="B109" s="5" t="s">
        <v>436</v>
      </c>
      <c r="C109" s="5" t="s">
        <v>437</v>
      </c>
      <c r="D109" s="5" t="s">
        <v>419</v>
      </c>
      <c r="E109" s="5" t="s">
        <v>52</v>
      </c>
      <c r="F109" s="6" t="n">
        <v>14978.37</v>
      </c>
      <c r="G109" s="7" t="n">
        <v>1305</v>
      </c>
      <c r="H109" s="8" t="n">
        <v>0.0833</v>
      </c>
      <c r="I109" s="8" t="n">
        <v>0.1457</v>
      </c>
      <c r="J109" s="7" t="n">
        <v>544</v>
      </c>
      <c r="K109" s="5" t="n">
        <v>53</v>
      </c>
      <c r="L109" s="5" t="n">
        <v>518</v>
      </c>
      <c r="M109" s="5" t="n">
        <v>3.8</v>
      </c>
      <c r="N109" s="9" t="s">
        <v>53</v>
      </c>
      <c r="O109" s="5"/>
      <c r="P109" s="5"/>
      <c r="Q109" s="5"/>
      <c r="R109" s="7"/>
      <c r="S109" s="7"/>
      <c r="T109" s="5"/>
      <c r="U109" s="6"/>
      <c r="V109" s="7"/>
      <c r="W109" s="5"/>
      <c r="X109" s="7"/>
      <c r="Y109" s="7"/>
      <c r="Z109" s="7"/>
      <c r="AA109" s="10"/>
      <c r="AB109" s="11"/>
      <c r="AC109" s="10"/>
      <c r="AD109" s="12"/>
      <c r="AE109" s="12"/>
      <c r="AF109" s="12"/>
      <c r="AG109" s="7"/>
      <c r="AH109" s="7"/>
      <c r="AI109" s="5" t="s">
        <v>438</v>
      </c>
    </row>
    <row r="110" customFormat="false" ht="15" hidden="false" customHeight="false" outlineLevel="0" collapsed="false">
      <c r="A110" s="5" t="s">
        <v>419</v>
      </c>
      <c r="B110" s="5" t="s">
        <v>439</v>
      </c>
      <c r="C110" s="5"/>
      <c r="D110" s="5" t="s">
        <v>419</v>
      </c>
      <c r="E110" s="5" t="s">
        <v>52</v>
      </c>
      <c r="F110" s="6" t="n">
        <v>14703.59</v>
      </c>
      <c r="G110" s="7" t="n">
        <v>991</v>
      </c>
      <c r="H110" s="8" t="n">
        <v>-0.1559</v>
      </c>
      <c r="I110" s="8" t="n">
        <v>-0.1292</v>
      </c>
      <c r="J110" s="7" t="n">
        <v>94</v>
      </c>
      <c r="K110" s="5" t="n">
        <v>19</v>
      </c>
      <c r="L110" s="5" t="n">
        <v>377</v>
      </c>
      <c r="M110" s="5" t="n">
        <v>4.4</v>
      </c>
      <c r="N110" s="9" t="s">
        <v>53</v>
      </c>
      <c r="O110" s="5"/>
      <c r="P110" s="5"/>
      <c r="Q110" s="5"/>
      <c r="R110" s="7"/>
      <c r="S110" s="7"/>
      <c r="T110" s="5"/>
      <c r="U110" s="6"/>
      <c r="V110" s="7"/>
      <c r="W110" s="5"/>
      <c r="X110" s="7"/>
      <c r="Y110" s="7"/>
      <c r="Z110" s="7"/>
      <c r="AA110" s="10"/>
      <c r="AB110" s="11"/>
      <c r="AC110" s="10"/>
      <c r="AD110" s="12"/>
      <c r="AE110" s="12"/>
      <c r="AF110" s="12"/>
      <c r="AG110" s="7"/>
      <c r="AH110" s="7"/>
      <c r="AI110" s="5" t="s">
        <v>440</v>
      </c>
    </row>
    <row r="111" customFormat="false" ht="15" hidden="false" customHeight="false" outlineLevel="0" collapsed="false">
      <c r="A111" s="5" t="s">
        <v>419</v>
      </c>
      <c r="B111" s="5" t="s">
        <v>441</v>
      </c>
      <c r="C111" s="5" t="s">
        <v>442</v>
      </c>
      <c r="D111" s="5" t="s">
        <v>419</v>
      </c>
      <c r="E111" s="5" t="s">
        <v>59</v>
      </c>
      <c r="F111" s="6" t="n">
        <v>14040.02</v>
      </c>
      <c r="G111" s="7" t="n">
        <v>1403</v>
      </c>
      <c r="H111" s="8" t="n">
        <v>0.4552</v>
      </c>
      <c r="I111" s="8" t="n">
        <v>0.5469</v>
      </c>
      <c r="J111" s="7" t="n">
        <v>74</v>
      </c>
      <c r="K111" s="5" t="n">
        <v>49</v>
      </c>
      <c r="L111" s="5" t="n">
        <v>232</v>
      </c>
      <c r="M111" s="5" t="n">
        <v>4.4</v>
      </c>
      <c r="N111" s="9" t="s">
        <v>53</v>
      </c>
      <c r="O111" s="5"/>
      <c r="P111" s="5" t="s">
        <v>443</v>
      </c>
      <c r="Q111" s="14" t="s">
        <v>444</v>
      </c>
      <c r="R111" s="7" t="n">
        <v>2067</v>
      </c>
      <c r="S111" s="7" t="n">
        <v>64</v>
      </c>
      <c r="T111" s="5" t="s">
        <v>312</v>
      </c>
      <c r="U111" s="6" t="n">
        <v>553498.47</v>
      </c>
      <c r="V111" s="7" t="n">
        <v>77459</v>
      </c>
      <c r="W111" s="5" t="n">
        <v>323</v>
      </c>
      <c r="X111" s="7" t="n">
        <v>734</v>
      </c>
      <c r="Y111" s="7" t="n">
        <v>1129</v>
      </c>
      <c r="Z111" s="7" t="n">
        <v>529</v>
      </c>
      <c r="AA111" s="10" t="n">
        <v>1.17</v>
      </c>
      <c r="AB111" s="11" t="n">
        <v>20.75</v>
      </c>
      <c r="AC111" s="10" t="n">
        <v>9.35</v>
      </c>
      <c r="AD111" s="12" t="n">
        <v>0.84</v>
      </c>
      <c r="AE111" s="12" t="n">
        <v>0.92</v>
      </c>
      <c r="AF111" s="12" t="n">
        <v>0.86</v>
      </c>
      <c r="AG111" s="7" t="n">
        <v>18</v>
      </c>
      <c r="AH111" s="7" t="n">
        <v>1879</v>
      </c>
      <c r="AI111" s="5" t="s">
        <v>445</v>
      </c>
    </row>
    <row r="112" customFormat="false" ht="15" hidden="false" customHeight="false" outlineLevel="0" collapsed="false">
      <c r="A112" s="5" t="s">
        <v>419</v>
      </c>
      <c r="B112" s="5" t="s">
        <v>446</v>
      </c>
      <c r="C112" s="5" t="s">
        <v>447</v>
      </c>
      <c r="D112" s="5" t="s">
        <v>419</v>
      </c>
      <c r="E112" s="5" t="s">
        <v>52</v>
      </c>
      <c r="F112" s="6" t="n">
        <v>13568.37</v>
      </c>
      <c r="G112" s="7" t="n">
        <v>2234</v>
      </c>
      <c r="H112" s="8" t="n">
        <v>4.4251</v>
      </c>
      <c r="I112" s="8" t="n">
        <v>5.1543</v>
      </c>
      <c r="J112" s="7" t="n">
        <v>101</v>
      </c>
      <c r="K112" s="5" t="n">
        <v>7</v>
      </c>
      <c r="L112" s="5" t="n">
        <v>111</v>
      </c>
      <c r="M112" s="5" t="n">
        <v>4.9</v>
      </c>
      <c r="N112" s="9" t="s">
        <v>53</v>
      </c>
      <c r="O112" s="5"/>
      <c r="P112" s="5"/>
      <c r="Q112" s="5"/>
      <c r="R112" s="7"/>
      <c r="S112" s="7"/>
      <c r="T112" s="5"/>
      <c r="U112" s="6"/>
      <c r="V112" s="7"/>
      <c r="W112" s="5"/>
      <c r="X112" s="7"/>
      <c r="Y112" s="7"/>
      <c r="Z112" s="7"/>
      <c r="AA112" s="10"/>
      <c r="AB112" s="11"/>
      <c r="AC112" s="10"/>
      <c r="AD112" s="12"/>
      <c r="AE112" s="12"/>
      <c r="AF112" s="12"/>
      <c r="AG112" s="7"/>
      <c r="AH112" s="7"/>
      <c r="AI112" s="5" t="s">
        <v>448</v>
      </c>
    </row>
    <row r="113" customFormat="false" ht="15" hidden="false" customHeight="false" outlineLevel="0" collapsed="false">
      <c r="A113" s="5" t="s">
        <v>419</v>
      </c>
      <c r="B113" s="5" t="s">
        <v>449</v>
      </c>
      <c r="C113" s="5" t="s">
        <v>450</v>
      </c>
      <c r="D113" s="5" t="s">
        <v>451</v>
      </c>
      <c r="E113" s="5" t="s">
        <v>59</v>
      </c>
      <c r="F113" s="6" t="n">
        <v>13416.44</v>
      </c>
      <c r="G113" s="7" t="n">
        <v>341</v>
      </c>
      <c r="H113" s="8" t="n">
        <v>0.4402</v>
      </c>
      <c r="I113" s="8" t="n">
        <v>0.776</v>
      </c>
      <c r="J113" s="7" t="n">
        <v>404</v>
      </c>
      <c r="K113" s="5" t="n">
        <v>9</v>
      </c>
      <c r="L113" s="5" t="n">
        <v>160</v>
      </c>
      <c r="M113" s="5" t="n">
        <v>4.9</v>
      </c>
      <c r="N113" s="13" t="s">
        <v>60</v>
      </c>
      <c r="O113" s="5"/>
      <c r="P113" s="5"/>
      <c r="Q113" s="5"/>
      <c r="R113" s="7"/>
      <c r="S113" s="7"/>
      <c r="T113" s="5"/>
      <c r="U113" s="6"/>
      <c r="V113" s="7"/>
      <c r="W113" s="5"/>
      <c r="X113" s="7"/>
      <c r="Y113" s="7"/>
      <c r="Z113" s="7"/>
      <c r="AA113" s="10"/>
      <c r="AB113" s="11"/>
      <c r="AC113" s="10"/>
      <c r="AD113" s="12"/>
      <c r="AE113" s="12"/>
      <c r="AF113" s="12"/>
      <c r="AG113" s="7"/>
      <c r="AH113" s="7"/>
      <c r="AI113" s="5" t="s">
        <v>452</v>
      </c>
    </row>
    <row r="114" customFormat="false" ht="15" hidden="false" customHeight="false" outlineLevel="0" collapsed="false">
      <c r="A114" s="5" t="s">
        <v>419</v>
      </c>
      <c r="B114" s="5" t="s">
        <v>453</v>
      </c>
      <c r="C114" s="5"/>
      <c r="D114" s="5" t="s">
        <v>419</v>
      </c>
      <c r="E114" s="5" t="s">
        <v>52</v>
      </c>
      <c r="F114" s="6" t="n">
        <v>13253.91</v>
      </c>
      <c r="G114" s="7" t="n">
        <v>1371</v>
      </c>
      <c r="H114" s="8" t="n">
        <v>6.5923</v>
      </c>
      <c r="I114" s="8" t="n">
        <v>5.9242</v>
      </c>
      <c r="J114" s="7" t="n">
        <v>41</v>
      </c>
      <c r="K114" s="5" t="n">
        <v>33</v>
      </c>
      <c r="L114" s="5" t="n">
        <v>222</v>
      </c>
      <c r="M114" s="5" t="n">
        <v>4.6</v>
      </c>
      <c r="N114" s="9" t="s">
        <v>53</v>
      </c>
      <c r="O114" s="5"/>
      <c r="P114" s="5"/>
      <c r="Q114" s="5"/>
      <c r="R114" s="7"/>
      <c r="S114" s="7"/>
      <c r="T114" s="5"/>
      <c r="U114" s="6"/>
      <c r="V114" s="7"/>
      <c r="W114" s="5"/>
      <c r="X114" s="7"/>
      <c r="Y114" s="7"/>
      <c r="Z114" s="7"/>
      <c r="AA114" s="10"/>
      <c r="AB114" s="11"/>
      <c r="AC114" s="10"/>
      <c r="AD114" s="12"/>
      <c r="AE114" s="12"/>
      <c r="AF114" s="12"/>
      <c r="AG114" s="7"/>
      <c r="AH114" s="7"/>
      <c r="AI114" s="5" t="s">
        <v>454</v>
      </c>
    </row>
    <row r="115" customFormat="false" ht="15" hidden="false" customHeight="false" outlineLevel="0" collapsed="false">
      <c r="A115" s="5" t="s">
        <v>149</v>
      </c>
      <c r="B115" s="5" t="s">
        <v>455</v>
      </c>
      <c r="C115" s="5" t="s">
        <v>456</v>
      </c>
      <c r="D115" s="5" t="s">
        <v>149</v>
      </c>
      <c r="E115" s="5" t="s">
        <v>52</v>
      </c>
      <c r="F115" s="6" t="n">
        <v>25279.51</v>
      </c>
      <c r="G115" s="7" t="n">
        <v>1056</v>
      </c>
      <c r="H115" s="8" t="n">
        <v>-0.1075</v>
      </c>
      <c r="I115" s="8" t="n">
        <v>-0.2166</v>
      </c>
      <c r="J115" s="7" t="n">
        <v>796</v>
      </c>
      <c r="K115" s="5" t="n">
        <v>79</v>
      </c>
      <c r="L115" s="5" t="n">
        <v>488</v>
      </c>
      <c r="M115" s="5" t="n">
        <v>4.1</v>
      </c>
      <c r="N115" s="9" t="s">
        <v>53</v>
      </c>
      <c r="O115" s="5"/>
      <c r="P115" s="5"/>
      <c r="Q115" s="5"/>
      <c r="R115" s="7"/>
      <c r="S115" s="7"/>
      <c r="T115" s="5"/>
      <c r="U115" s="6"/>
      <c r="V115" s="7"/>
      <c r="W115" s="5"/>
      <c r="X115" s="7"/>
      <c r="Y115" s="7"/>
      <c r="Z115" s="7"/>
      <c r="AA115" s="10"/>
      <c r="AB115" s="11"/>
      <c r="AC115" s="10"/>
      <c r="AD115" s="12"/>
      <c r="AE115" s="12"/>
      <c r="AF115" s="12"/>
      <c r="AG115" s="7"/>
      <c r="AH115" s="7"/>
      <c r="AI115" s="5" t="s">
        <v>457</v>
      </c>
    </row>
    <row r="116" customFormat="false" ht="15" hidden="false" customHeight="false" outlineLevel="0" collapsed="false">
      <c r="A116" s="5" t="s">
        <v>149</v>
      </c>
      <c r="B116" s="5" t="s">
        <v>458</v>
      </c>
      <c r="C116" s="5" t="s">
        <v>459</v>
      </c>
      <c r="D116" s="5" t="s">
        <v>58</v>
      </c>
      <c r="E116" s="5" t="s">
        <v>59</v>
      </c>
      <c r="F116" s="6" t="n">
        <v>25218.43</v>
      </c>
      <c r="G116" s="7" t="n">
        <v>1724</v>
      </c>
      <c r="H116" s="8" t="n">
        <v>0.6894</v>
      </c>
      <c r="I116" s="8" t="n">
        <v>0.4573</v>
      </c>
      <c r="J116" s="7" t="n">
        <v>439</v>
      </c>
      <c r="K116" s="5" t="n">
        <v>12</v>
      </c>
      <c r="L116" s="5" t="n">
        <v>237</v>
      </c>
      <c r="M116" s="5" t="n">
        <v>4.1</v>
      </c>
      <c r="N116" s="13" t="s">
        <v>60</v>
      </c>
      <c r="O116" s="5"/>
      <c r="P116" s="5"/>
      <c r="Q116" s="5"/>
      <c r="R116" s="7"/>
      <c r="S116" s="7"/>
      <c r="T116" s="5"/>
      <c r="U116" s="6"/>
      <c r="V116" s="7"/>
      <c r="W116" s="5"/>
      <c r="X116" s="7"/>
      <c r="Y116" s="7"/>
      <c r="Z116" s="7"/>
      <c r="AA116" s="10"/>
      <c r="AB116" s="11"/>
      <c r="AC116" s="10"/>
      <c r="AD116" s="12"/>
      <c r="AE116" s="12"/>
      <c r="AF116" s="12"/>
      <c r="AG116" s="7"/>
      <c r="AH116" s="7"/>
      <c r="AI116" s="5" t="s">
        <v>460</v>
      </c>
    </row>
    <row r="117" customFormat="false" ht="15" hidden="false" customHeight="false" outlineLevel="0" collapsed="false">
      <c r="A117" s="5" t="s">
        <v>149</v>
      </c>
      <c r="B117" s="5" t="s">
        <v>461</v>
      </c>
      <c r="C117" s="5" t="s">
        <v>462</v>
      </c>
      <c r="D117" s="5" t="s">
        <v>58</v>
      </c>
      <c r="E117" s="5" t="s">
        <v>59</v>
      </c>
      <c r="F117" s="6" t="n">
        <v>22788.12</v>
      </c>
      <c r="G117" s="7" t="n">
        <v>762</v>
      </c>
      <c r="H117" s="8" t="n">
        <v>-0.1436</v>
      </c>
      <c r="I117" s="8" t="n">
        <v>-0.0243</v>
      </c>
      <c r="J117" s="7" t="n">
        <v>80</v>
      </c>
      <c r="K117" s="5" t="n">
        <v>53</v>
      </c>
      <c r="L117" s="5" t="n">
        <v>728</v>
      </c>
      <c r="M117" s="5" t="n">
        <v>4.2</v>
      </c>
      <c r="N117" s="13" t="s">
        <v>60</v>
      </c>
      <c r="O117" s="5"/>
      <c r="P117" s="5"/>
      <c r="Q117" s="5"/>
      <c r="R117" s="7"/>
      <c r="S117" s="7"/>
      <c r="T117" s="5"/>
      <c r="U117" s="6"/>
      <c r="V117" s="7"/>
      <c r="W117" s="5"/>
      <c r="X117" s="7"/>
      <c r="Y117" s="7"/>
      <c r="Z117" s="7"/>
      <c r="AA117" s="10"/>
      <c r="AB117" s="11"/>
      <c r="AC117" s="10"/>
      <c r="AD117" s="12"/>
      <c r="AE117" s="12"/>
      <c r="AF117" s="12"/>
      <c r="AG117" s="7"/>
      <c r="AH117" s="7"/>
      <c r="AI117" s="5" t="s">
        <v>463</v>
      </c>
    </row>
    <row r="118" customFormat="false" ht="15" hidden="false" customHeight="false" outlineLevel="0" collapsed="false">
      <c r="A118" s="5" t="s">
        <v>149</v>
      </c>
      <c r="B118" s="5" t="s">
        <v>464</v>
      </c>
      <c r="C118" s="5"/>
      <c r="D118" s="5" t="s">
        <v>149</v>
      </c>
      <c r="E118" s="5" t="s">
        <v>59</v>
      </c>
      <c r="F118" s="6" t="n">
        <v>22704</v>
      </c>
      <c r="G118" s="7" t="n">
        <v>2941</v>
      </c>
      <c r="H118" s="8" t="n">
        <v>0</v>
      </c>
      <c r="I118" s="8" t="n">
        <v>0</v>
      </c>
      <c r="J118" s="7" t="n">
        <v>31</v>
      </c>
      <c r="K118" s="5" t="n">
        <v>7</v>
      </c>
      <c r="L118" s="5" t="n">
        <v>352</v>
      </c>
      <c r="M118" s="5" t="n">
        <v>3.2</v>
      </c>
      <c r="N118" s="9" t="s">
        <v>53</v>
      </c>
      <c r="O118" s="5" t="s">
        <v>136</v>
      </c>
      <c r="P118" s="5"/>
      <c r="Q118" s="5"/>
      <c r="R118" s="7"/>
      <c r="S118" s="7"/>
      <c r="T118" s="5" t="s">
        <v>465</v>
      </c>
      <c r="U118" s="6" t="n">
        <v>24181.2</v>
      </c>
      <c r="V118" s="7" t="n">
        <v>3681</v>
      </c>
      <c r="W118" s="5" t="n">
        <v>99</v>
      </c>
      <c r="X118" s="7" t="n">
        <v>68</v>
      </c>
      <c r="Y118" s="7" t="n">
        <v>170</v>
      </c>
      <c r="Z118" s="7" t="n">
        <v>40</v>
      </c>
      <c r="AA118" s="10" t="n">
        <v>4.99</v>
      </c>
      <c r="AB118" s="11" t="n">
        <v>25.89</v>
      </c>
      <c r="AC118" s="10"/>
      <c r="AD118" s="12"/>
      <c r="AE118" s="12"/>
      <c r="AF118" s="12"/>
      <c r="AG118" s="7" t="n">
        <v>39</v>
      </c>
      <c r="AH118" s="7" t="n">
        <v>1870</v>
      </c>
      <c r="AI118" s="5" t="s">
        <v>466</v>
      </c>
    </row>
    <row r="119" customFormat="false" ht="15" hidden="false" customHeight="false" outlineLevel="0" collapsed="false">
      <c r="A119" s="5" t="s">
        <v>149</v>
      </c>
      <c r="B119" s="5" t="s">
        <v>467</v>
      </c>
      <c r="C119" s="5" t="s">
        <v>468</v>
      </c>
      <c r="D119" s="5" t="s">
        <v>149</v>
      </c>
      <c r="E119" s="5" t="s">
        <v>59</v>
      </c>
      <c r="F119" s="6" t="n">
        <v>22374.68</v>
      </c>
      <c r="G119" s="7" t="n">
        <v>309</v>
      </c>
      <c r="H119" s="8" t="n">
        <v>-0.2961</v>
      </c>
      <c r="I119" s="8" t="n">
        <v>-0.4309</v>
      </c>
      <c r="J119" s="7" t="n">
        <v>157</v>
      </c>
      <c r="K119" s="5" t="n">
        <v>5</v>
      </c>
      <c r="L119" s="5" t="n">
        <v>10</v>
      </c>
      <c r="M119" s="5" t="n">
        <v>4.1</v>
      </c>
      <c r="N119" s="9" t="s">
        <v>53</v>
      </c>
      <c r="O119" s="5"/>
      <c r="P119" s="5" t="s">
        <v>469</v>
      </c>
      <c r="Q119" s="14" t="s">
        <v>470</v>
      </c>
      <c r="R119" s="7" t="n">
        <v>11061</v>
      </c>
      <c r="S119" s="7" t="n">
        <v>59</v>
      </c>
      <c r="T119" s="5" t="s">
        <v>471</v>
      </c>
      <c r="U119" s="6" t="n">
        <v>442208.88</v>
      </c>
      <c r="V119" s="7" t="n">
        <v>14273</v>
      </c>
      <c r="W119" s="5" t="n">
        <v>377</v>
      </c>
      <c r="X119" s="7" t="n">
        <v>819</v>
      </c>
      <c r="Y119" s="7" t="n">
        <v>2456</v>
      </c>
      <c r="Z119" s="7" t="n">
        <v>2326</v>
      </c>
      <c r="AA119" s="10" t="n">
        <v>1</v>
      </c>
      <c r="AB119" s="11" t="n">
        <v>104.09</v>
      </c>
      <c r="AC119" s="10" t="n">
        <v>32.47</v>
      </c>
      <c r="AD119" s="12" t="n">
        <v>0.62</v>
      </c>
      <c r="AE119" s="12" t="n">
        <v>0.89</v>
      </c>
      <c r="AF119" s="12" t="n">
        <v>0.95</v>
      </c>
      <c r="AG119" s="7" t="n">
        <v>40</v>
      </c>
      <c r="AH119" s="7" t="n">
        <v>1886</v>
      </c>
      <c r="AI119" s="5" t="s">
        <v>472</v>
      </c>
    </row>
    <row r="120" customFormat="false" ht="15" hidden="false" customHeight="false" outlineLevel="0" collapsed="false">
      <c r="A120" s="5" t="s">
        <v>149</v>
      </c>
      <c r="B120" s="5" t="s">
        <v>473</v>
      </c>
      <c r="C120" s="5" t="s">
        <v>474</v>
      </c>
      <c r="D120" s="5" t="s">
        <v>58</v>
      </c>
      <c r="E120" s="5" t="s">
        <v>59</v>
      </c>
      <c r="F120" s="6" t="n">
        <v>21942.83</v>
      </c>
      <c r="G120" s="7" t="n">
        <v>841</v>
      </c>
      <c r="H120" s="8" t="n">
        <v>-0.0444</v>
      </c>
      <c r="I120" s="8" t="n">
        <v>-0.1657</v>
      </c>
      <c r="J120" s="7" t="n">
        <v>139</v>
      </c>
      <c r="K120" s="5" t="n">
        <v>15</v>
      </c>
      <c r="L120" s="5" t="n">
        <v>593</v>
      </c>
      <c r="M120" s="5" t="n">
        <v>4.3</v>
      </c>
      <c r="N120" s="13" t="s">
        <v>60</v>
      </c>
      <c r="O120" s="5"/>
      <c r="P120" s="5"/>
      <c r="Q120" s="5"/>
      <c r="R120" s="7"/>
      <c r="S120" s="7"/>
      <c r="T120" s="5"/>
      <c r="U120" s="6"/>
      <c r="V120" s="7"/>
      <c r="W120" s="5"/>
      <c r="X120" s="7"/>
      <c r="Y120" s="7"/>
      <c r="Z120" s="7"/>
      <c r="AA120" s="10"/>
      <c r="AB120" s="11"/>
      <c r="AC120" s="10"/>
      <c r="AD120" s="12"/>
      <c r="AE120" s="12"/>
      <c r="AF120" s="12"/>
      <c r="AG120" s="7"/>
      <c r="AH120" s="7"/>
      <c r="AI120" s="5" t="s">
        <v>475</v>
      </c>
    </row>
    <row r="121" customFormat="false" ht="15" hidden="false" customHeight="false" outlineLevel="0" collapsed="false">
      <c r="A121" s="5" t="s">
        <v>149</v>
      </c>
      <c r="B121" s="5" t="s">
        <v>476</v>
      </c>
      <c r="C121" s="5" t="s">
        <v>477</v>
      </c>
      <c r="D121" s="5" t="s">
        <v>149</v>
      </c>
      <c r="E121" s="5" t="s">
        <v>59</v>
      </c>
      <c r="F121" s="6" t="n">
        <v>21101.87</v>
      </c>
      <c r="G121" s="7" t="n">
        <v>893</v>
      </c>
      <c r="H121" s="8" t="n">
        <v>0.9181</v>
      </c>
      <c r="I121" s="8" t="n">
        <v>0.6723</v>
      </c>
      <c r="J121" s="7" t="n">
        <v>157</v>
      </c>
      <c r="K121" s="5" t="n">
        <v>26</v>
      </c>
      <c r="L121" s="5" t="n">
        <v>212</v>
      </c>
      <c r="M121" s="5" t="n">
        <v>3.9</v>
      </c>
      <c r="N121" s="9" t="s">
        <v>53</v>
      </c>
      <c r="O121" s="5"/>
      <c r="P121" s="5" t="s">
        <v>478</v>
      </c>
      <c r="Q121" s="14" t="s">
        <v>479</v>
      </c>
      <c r="R121" s="7" t="n">
        <v>2144</v>
      </c>
      <c r="S121" s="7" t="n">
        <v>118</v>
      </c>
      <c r="T121" s="5" t="s">
        <v>480</v>
      </c>
      <c r="U121" s="6" t="n">
        <v>875649.18</v>
      </c>
      <c r="V121" s="7" t="n">
        <v>43047</v>
      </c>
      <c r="W121" s="5" t="n">
        <v>509</v>
      </c>
      <c r="X121" s="7" t="n">
        <v>1874</v>
      </c>
      <c r="Y121" s="7" t="n">
        <v>4199</v>
      </c>
      <c r="Z121" s="7" t="n">
        <v>1209</v>
      </c>
      <c r="AA121" s="10" t="n">
        <v>7.07</v>
      </c>
      <c r="AB121" s="11" t="n">
        <v>122.08</v>
      </c>
      <c r="AC121" s="10" t="n">
        <v>19.62</v>
      </c>
      <c r="AD121" s="12" t="n">
        <v>0.73</v>
      </c>
      <c r="AE121" s="12" t="n">
        <v>0.8</v>
      </c>
      <c r="AF121" s="12" t="n">
        <v>0.96</v>
      </c>
      <c r="AG121" s="7" t="n">
        <v>11</v>
      </c>
      <c r="AH121" s="7" t="n">
        <v>598</v>
      </c>
      <c r="AI121" s="5" t="s">
        <v>481</v>
      </c>
    </row>
    <row r="122" customFormat="false" ht="15" hidden="false" customHeight="false" outlineLevel="0" collapsed="false">
      <c r="A122" s="5" t="s">
        <v>149</v>
      </c>
      <c r="B122" s="5" t="s">
        <v>482</v>
      </c>
      <c r="C122" s="5" t="s">
        <v>483</v>
      </c>
      <c r="D122" s="5" t="s">
        <v>149</v>
      </c>
      <c r="E122" s="5" t="s">
        <v>52</v>
      </c>
      <c r="F122" s="6" t="n">
        <v>20971.88</v>
      </c>
      <c r="G122" s="7" t="n">
        <v>3142</v>
      </c>
      <c r="H122" s="8" t="n">
        <v>0.5173</v>
      </c>
      <c r="I122" s="8" t="n">
        <v>0.3081</v>
      </c>
      <c r="J122" s="7" t="n">
        <v>73</v>
      </c>
      <c r="K122" s="5" t="n">
        <v>48</v>
      </c>
      <c r="L122" s="5" t="n">
        <v>838</v>
      </c>
      <c r="M122" s="5" t="n">
        <v>5</v>
      </c>
      <c r="N122" s="9" t="s">
        <v>53</v>
      </c>
      <c r="O122" s="5"/>
      <c r="P122" s="5"/>
      <c r="Q122" s="5"/>
      <c r="R122" s="7"/>
      <c r="S122" s="7"/>
      <c r="T122" s="5"/>
      <c r="U122" s="6"/>
      <c r="V122" s="7"/>
      <c r="W122" s="5"/>
      <c r="X122" s="7"/>
      <c r="Y122" s="7"/>
      <c r="Z122" s="7"/>
      <c r="AA122" s="10"/>
      <c r="AB122" s="11"/>
      <c r="AC122" s="10"/>
      <c r="AD122" s="12"/>
      <c r="AE122" s="12"/>
      <c r="AF122" s="12"/>
      <c r="AG122" s="7"/>
      <c r="AH122" s="7"/>
      <c r="AI122" s="5" t="s">
        <v>484</v>
      </c>
    </row>
    <row r="123" customFormat="false" ht="15" hidden="false" customHeight="false" outlineLevel="0" collapsed="false">
      <c r="A123" s="5" t="s">
        <v>149</v>
      </c>
      <c r="B123" s="5" t="s">
        <v>485</v>
      </c>
      <c r="C123" s="5" t="s">
        <v>486</v>
      </c>
      <c r="D123" s="5" t="s">
        <v>90</v>
      </c>
      <c r="E123" s="5" t="s">
        <v>59</v>
      </c>
      <c r="F123" s="6" t="n">
        <v>20278.96</v>
      </c>
      <c r="G123" s="7" t="n">
        <v>1258</v>
      </c>
      <c r="H123" s="8" t="n">
        <v>-0.6329</v>
      </c>
      <c r="I123" s="8" t="n">
        <v>-0.6329</v>
      </c>
      <c r="J123" s="7" t="n">
        <v>508</v>
      </c>
      <c r="K123" s="5" t="n">
        <v>1</v>
      </c>
      <c r="L123" s="5" t="n">
        <v>83</v>
      </c>
      <c r="M123" s="5" t="n">
        <v>4.3</v>
      </c>
      <c r="N123" s="13" t="s">
        <v>60</v>
      </c>
      <c r="O123" s="5"/>
      <c r="P123" s="5"/>
      <c r="Q123" s="5"/>
      <c r="R123" s="7"/>
      <c r="S123" s="7"/>
      <c r="T123" s="5"/>
      <c r="U123" s="6"/>
      <c r="V123" s="7"/>
      <c r="W123" s="5"/>
      <c r="X123" s="7"/>
      <c r="Y123" s="7"/>
      <c r="Z123" s="7"/>
      <c r="AA123" s="10"/>
      <c r="AB123" s="11"/>
      <c r="AC123" s="10"/>
      <c r="AD123" s="12"/>
      <c r="AE123" s="12"/>
      <c r="AF123" s="12"/>
      <c r="AG123" s="7"/>
      <c r="AH123" s="7"/>
      <c r="AI123" s="5" t="s">
        <v>487</v>
      </c>
    </row>
    <row r="124" customFormat="false" ht="15" hidden="false" customHeight="false" outlineLevel="0" collapsed="false">
      <c r="A124" s="5" t="s">
        <v>428</v>
      </c>
      <c r="B124" s="5" t="s">
        <v>488</v>
      </c>
      <c r="C124" s="5" t="s">
        <v>489</v>
      </c>
      <c r="D124" s="5" t="s">
        <v>428</v>
      </c>
      <c r="E124" s="5" t="s">
        <v>52</v>
      </c>
      <c r="F124" s="6" t="n">
        <v>16576.42</v>
      </c>
      <c r="G124" s="7" t="n">
        <v>795</v>
      </c>
      <c r="H124" s="8" t="n">
        <v>0.6158</v>
      </c>
      <c r="I124" s="8" t="n">
        <v>0.5377</v>
      </c>
      <c r="J124" s="7" t="n">
        <v>183</v>
      </c>
      <c r="K124" s="5" t="n">
        <v>50</v>
      </c>
      <c r="L124" s="5" t="n">
        <v>338</v>
      </c>
      <c r="M124" s="5" t="n">
        <v>4.7</v>
      </c>
      <c r="N124" s="9" t="s">
        <v>53</v>
      </c>
      <c r="O124" s="5"/>
      <c r="P124" s="5"/>
      <c r="Q124" s="5"/>
      <c r="R124" s="7"/>
      <c r="S124" s="7"/>
      <c r="T124" s="5"/>
      <c r="U124" s="6"/>
      <c r="V124" s="7"/>
      <c r="W124" s="5"/>
      <c r="X124" s="7"/>
      <c r="Y124" s="7"/>
      <c r="Z124" s="7"/>
      <c r="AA124" s="10"/>
      <c r="AB124" s="11"/>
      <c r="AC124" s="10"/>
      <c r="AD124" s="12"/>
      <c r="AE124" s="12"/>
      <c r="AF124" s="12"/>
      <c r="AG124" s="7"/>
      <c r="AH124" s="7"/>
      <c r="AI124" s="5" t="s">
        <v>490</v>
      </c>
    </row>
    <row r="125" customFormat="false" ht="15" hidden="false" customHeight="false" outlineLevel="0" collapsed="false">
      <c r="A125" s="5" t="s">
        <v>428</v>
      </c>
      <c r="B125" s="5" t="s">
        <v>491</v>
      </c>
      <c r="C125" s="5" t="s">
        <v>492</v>
      </c>
      <c r="D125" s="5" t="s">
        <v>428</v>
      </c>
      <c r="E125" s="5" t="s">
        <v>59</v>
      </c>
      <c r="F125" s="6" t="n">
        <v>16530.23</v>
      </c>
      <c r="G125" s="7" t="n">
        <v>318</v>
      </c>
      <c r="H125" s="8" t="n">
        <v>0.0967</v>
      </c>
      <c r="I125" s="8" t="n">
        <v>-0.0245</v>
      </c>
      <c r="J125" s="7" t="n">
        <v>49</v>
      </c>
      <c r="K125" s="5" t="n">
        <v>29</v>
      </c>
      <c r="L125" s="5" t="n">
        <v>1137</v>
      </c>
      <c r="M125" s="5" t="n">
        <v>4</v>
      </c>
      <c r="N125" s="9" t="s">
        <v>53</v>
      </c>
      <c r="O125" s="5"/>
      <c r="P125" s="5"/>
      <c r="Q125" s="5"/>
      <c r="R125" s="7"/>
      <c r="S125" s="7"/>
      <c r="T125" s="5"/>
      <c r="U125" s="6"/>
      <c r="V125" s="7"/>
      <c r="W125" s="5"/>
      <c r="X125" s="7"/>
      <c r="Y125" s="7"/>
      <c r="Z125" s="7"/>
      <c r="AA125" s="10"/>
      <c r="AB125" s="11"/>
      <c r="AC125" s="10"/>
      <c r="AD125" s="12"/>
      <c r="AE125" s="12"/>
      <c r="AF125" s="12"/>
      <c r="AG125" s="7"/>
      <c r="AH125" s="7"/>
      <c r="AI125" s="5" t="s">
        <v>493</v>
      </c>
    </row>
    <row r="126" customFormat="false" ht="15" hidden="false" customHeight="false" outlineLevel="0" collapsed="false">
      <c r="A126" s="5" t="s">
        <v>428</v>
      </c>
      <c r="B126" s="5" t="s">
        <v>494</v>
      </c>
      <c r="C126" s="5" t="s">
        <v>495</v>
      </c>
      <c r="D126" s="5" t="s">
        <v>421</v>
      </c>
      <c r="E126" s="5" t="s">
        <v>59</v>
      </c>
      <c r="F126" s="6" t="n">
        <v>16243.44</v>
      </c>
      <c r="G126" s="7" t="n">
        <v>153</v>
      </c>
      <c r="H126" s="8" t="n">
        <v>-0.2728</v>
      </c>
      <c r="I126" s="8" t="n">
        <v>-0.2817</v>
      </c>
      <c r="J126" s="7" t="n">
        <v>154</v>
      </c>
      <c r="K126" s="5" t="n">
        <v>11</v>
      </c>
      <c r="L126" s="5" t="n">
        <v>270</v>
      </c>
      <c r="M126" s="5" t="n">
        <v>4.4</v>
      </c>
      <c r="N126" s="13" t="s">
        <v>60</v>
      </c>
      <c r="O126" s="5"/>
      <c r="P126" s="5"/>
      <c r="Q126" s="5"/>
      <c r="R126" s="7"/>
      <c r="S126" s="7"/>
      <c r="T126" s="5"/>
      <c r="U126" s="6"/>
      <c r="V126" s="7"/>
      <c r="W126" s="5"/>
      <c r="X126" s="7"/>
      <c r="Y126" s="7"/>
      <c r="Z126" s="7"/>
      <c r="AA126" s="10"/>
      <c r="AB126" s="11"/>
      <c r="AC126" s="10"/>
      <c r="AD126" s="12"/>
      <c r="AE126" s="12"/>
      <c r="AF126" s="12"/>
      <c r="AG126" s="7"/>
      <c r="AH126" s="7"/>
      <c r="AI126" s="5" t="s">
        <v>496</v>
      </c>
    </row>
    <row r="127" customFormat="false" ht="15" hidden="false" customHeight="false" outlineLevel="0" collapsed="false">
      <c r="A127" s="5" t="s">
        <v>428</v>
      </c>
      <c r="B127" s="5" t="s">
        <v>497</v>
      </c>
      <c r="C127" s="5"/>
      <c r="D127" s="5" t="s">
        <v>428</v>
      </c>
      <c r="E127" s="5" t="s">
        <v>52</v>
      </c>
      <c r="F127" s="6" t="n">
        <v>16209.76</v>
      </c>
      <c r="G127" s="7" t="n">
        <v>1104</v>
      </c>
      <c r="H127" s="8" t="n">
        <v>0.2405</v>
      </c>
      <c r="I127" s="8" t="n">
        <v>0.1512</v>
      </c>
      <c r="J127" s="7" t="n">
        <v>134</v>
      </c>
      <c r="K127" s="5" t="n">
        <v>45</v>
      </c>
      <c r="L127" s="5" t="n">
        <v>505</v>
      </c>
      <c r="M127" s="5" t="n">
        <v>3.8</v>
      </c>
      <c r="N127" s="9" t="s">
        <v>53</v>
      </c>
      <c r="O127" s="5"/>
      <c r="P127" s="5"/>
      <c r="Q127" s="5"/>
      <c r="R127" s="7"/>
      <c r="S127" s="7"/>
      <c r="T127" s="5"/>
      <c r="U127" s="6"/>
      <c r="V127" s="7"/>
      <c r="W127" s="5"/>
      <c r="X127" s="7"/>
      <c r="Y127" s="7"/>
      <c r="Z127" s="7"/>
      <c r="AA127" s="10"/>
      <c r="AB127" s="11"/>
      <c r="AC127" s="10"/>
      <c r="AD127" s="12"/>
      <c r="AE127" s="12"/>
      <c r="AF127" s="12"/>
      <c r="AG127" s="7"/>
      <c r="AH127" s="7"/>
      <c r="AI127" s="5" t="s">
        <v>498</v>
      </c>
    </row>
    <row r="128" customFormat="false" ht="15" hidden="false" customHeight="false" outlineLevel="0" collapsed="false">
      <c r="A128" s="5" t="s">
        <v>428</v>
      </c>
      <c r="B128" s="5" t="s">
        <v>499</v>
      </c>
      <c r="C128" s="5" t="s">
        <v>500</v>
      </c>
      <c r="D128" s="5" t="s">
        <v>428</v>
      </c>
      <c r="E128" s="5" t="s">
        <v>52</v>
      </c>
      <c r="F128" s="6" t="n">
        <v>16149.75</v>
      </c>
      <c r="G128" s="7" t="n">
        <v>772</v>
      </c>
      <c r="H128" s="8" t="n">
        <v>-0.102</v>
      </c>
      <c r="I128" s="8" t="n">
        <v>-0.1983</v>
      </c>
      <c r="J128" s="7" t="n">
        <v>90</v>
      </c>
      <c r="K128" s="5" t="n">
        <v>32</v>
      </c>
      <c r="L128" s="5" t="n">
        <v>68</v>
      </c>
      <c r="M128" s="5" t="n">
        <v>4.8</v>
      </c>
      <c r="N128" s="9" t="s">
        <v>53</v>
      </c>
      <c r="O128" s="5"/>
      <c r="P128" s="5"/>
      <c r="Q128" s="5"/>
      <c r="R128" s="7"/>
      <c r="S128" s="7"/>
      <c r="T128" s="5"/>
      <c r="U128" s="6"/>
      <c r="V128" s="7"/>
      <c r="W128" s="5"/>
      <c r="X128" s="7"/>
      <c r="Y128" s="7"/>
      <c r="Z128" s="7"/>
      <c r="AA128" s="10"/>
      <c r="AB128" s="11"/>
      <c r="AC128" s="10"/>
      <c r="AD128" s="12"/>
      <c r="AE128" s="12"/>
      <c r="AF128" s="12"/>
      <c r="AG128" s="7"/>
      <c r="AH128" s="7"/>
      <c r="AI128" s="5" t="s">
        <v>501</v>
      </c>
    </row>
    <row r="129" customFormat="false" ht="15" hidden="false" customHeight="false" outlineLevel="0" collapsed="false">
      <c r="A129" s="5" t="s">
        <v>428</v>
      </c>
      <c r="B129" s="5" t="s">
        <v>502</v>
      </c>
      <c r="C129" s="5" t="s">
        <v>503</v>
      </c>
      <c r="D129" s="5" t="s">
        <v>428</v>
      </c>
      <c r="E129" s="5" t="s">
        <v>52</v>
      </c>
      <c r="F129" s="6" t="n">
        <v>16139.43</v>
      </c>
      <c r="G129" s="7" t="n">
        <v>1022</v>
      </c>
      <c r="H129" s="8" t="n">
        <v>-0.5361</v>
      </c>
      <c r="I129" s="8" t="n">
        <v>-0.5282</v>
      </c>
      <c r="J129" s="7" t="n">
        <v>76</v>
      </c>
      <c r="K129" s="5" t="n">
        <v>37</v>
      </c>
      <c r="L129" s="5" t="n">
        <v>277</v>
      </c>
      <c r="M129" s="5" t="n">
        <v>4.5</v>
      </c>
      <c r="N129" s="9" t="s">
        <v>53</v>
      </c>
      <c r="O129" s="5"/>
      <c r="P129" s="5"/>
      <c r="Q129" s="5"/>
      <c r="R129" s="7"/>
      <c r="S129" s="7"/>
      <c r="T129" s="5"/>
      <c r="U129" s="6"/>
      <c r="V129" s="7"/>
      <c r="W129" s="5"/>
      <c r="X129" s="7"/>
      <c r="Y129" s="7"/>
      <c r="Z129" s="7"/>
      <c r="AA129" s="10"/>
      <c r="AB129" s="11"/>
      <c r="AC129" s="10"/>
      <c r="AD129" s="12"/>
      <c r="AE129" s="12"/>
      <c r="AF129" s="12"/>
      <c r="AG129" s="7"/>
      <c r="AH129" s="7"/>
      <c r="AI129" s="5" t="s">
        <v>504</v>
      </c>
    </row>
    <row r="130" customFormat="false" ht="15" hidden="false" customHeight="false" outlineLevel="0" collapsed="false">
      <c r="A130" s="5" t="s">
        <v>428</v>
      </c>
      <c r="B130" s="5" t="s">
        <v>505</v>
      </c>
      <c r="C130" s="5" t="s">
        <v>506</v>
      </c>
      <c r="D130" s="5" t="s">
        <v>428</v>
      </c>
      <c r="E130" s="5" t="s">
        <v>52</v>
      </c>
      <c r="F130" s="6" t="n">
        <v>16122.01</v>
      </c>
      <c r="G130" s="7" t="n">
        <v>627</v>
      </c>
      <c r="H130" s="8" t="n">
        <v>-0.0849</v>
      </c>
      <c r="I130" s="8" t="n">
        <v>-0.1618</v>
      </c>
      <c r="J130" s="7" t="n">
        <v>108</v>
      </c>
      <c r="K130" s="5" t="n">
        <v>3</v>
      </c>
      <c r="L130" s="5" t="n">
        <v>5</v>
      </c>
      <c r="M130" s="5" t="n">
        <v>4.4</v>
      </c>
      <c r="N130" s="9" t="s">
        <v>53</v>
      </c>
      <c r="O130" s="5"/>
      <c r="P130" s="5"/>
      <c r="Q130" s="5"/>
      <c r="R130" s="7"/>
      <c r="S130" s="7"/>
      <c r="T130" s="5"/>
      <c r="U130" s="6"/>
      <c r="V130" s="7"/>
      <c r="W130" s="5"/>
      <c r="X130" s="7"/>
      <c r="Y130" s="7"/>
      <c r="Z130" s="7"/>
      <c r="AA130" s="10"/>
      <c r="AB130" s="11"/>
      <c r="AC130" s="10"/>
      <c r="AD130" s="12"/>
      <c r="AE130" s="12"/>
      <c r="AF130" s="12"/>
      <c r="AG130" s="7"/>
      <c r="AH130" s="7"/>
      <c r="AI130" s="5" t="s">
        <v>507</v>
      </c>
    </row>
    <row r="131" customFormat="false" ht="15" hidden="false" customHeight="false" outlineLevel="0" collapsed="false">
      <c r="A131" s="5" t="s">
        <v>428</v>
      </c>
      <c r="B131" s="5" t="s">
        <v>508</v>
      </c>
      <c r="C131" s="5" t="s">
        <v>509</v>
      </c>
      <c r="D131" s="5" t="s">
        <v>428</v>
      </c>
      <c r="E131" s="5" t="s">
        <v>59</v>
      </c>
      <c r="F131" s="6" t="n">
        <v>15451.65</v>
      </c>
      <c r="G131" s="7" t="n">
        <v>703</v>
      </c>
      <c r="H131" s="8" t="n">
        <v>-0.2232</v>
      </c>
      <c r="I131" s="8" t="n">
        <v>-0.4331</v>
      </c>
      <c r="J131" s="7" t="n">
        <v>136</v>
      </c>
      <c r="K131" s="5" t="n">
        <v>44</v>
      </c>
      <c r="L131" s="5" t="n">
        <v>286</v>
      </c>
      <c r="M131" s="5" t="n">
        <v>3.9</v>
      </c>
      <c r="N131" s="9" t="s">
        <v>53</v>
      </c>
      <c r="O131" s="5"/>
      <c r="P131" s="5" t="s">
        <v>510</v>
      </c>
      <c r="Q131" s="14" t="s">
        <v>511</v>
      </c>
      <c r="R131" s="7" t="n">
        <v>4855</v>
      </c>
      <c r="S131" s="7" t="n">
        <v>253</v>
      </c>
      <c r="T131" s="5" t="s">
        <v>512</v>
      </c>
      <c r="U131" s="6" t="n">
        <v>603687.93</v>
      </c>
      <c r="V131" s="7" t="n">
        <v>27950</v>
      </c>
      <c r="W131" s="5" t="n">
        <v>568</v>
      </c>
      <c r="X131" s="7" t="n">
        <v>1555</v>
      </c>
      <c r="Y131" s="7" t="n">
        <v>2872</v>
      </c>
      <c r="Z131" s="7" t="n">
        <v>803</v>
      </c>
      <c r="AA131" s="10" t="n">
        <v>2.99</v>
      </c>
      <c r="AB131" s="11" t="n">
        <v>92.25</v>
      </c>
      <c r="AC131" s="10" t="n">
        <v>25.72</v>
      </c>
      <c r="AD131" s="12" t="n">
        <v>0.76</v>
      </c>
      <c r="AE131" s="12" t="n">
        <v>0.91</v>
      </c>
      <c r="AF131" s="12" t="n">
        <v>0.84</v>
      </c>
      <c r="AG131" s="7" t="n">
        <v>239</v>
      </c>
      <c r="AH131" s="7" t="n">
        <v>1331</v>
      </c>
      <c r="AI131" s="5" t="s">
        <v>513</v>
      </c>
    </row>
    <row r="132" customFormat="false" ht="15" hidden="false" customHeight="false" outlineLevel="0" collapsed="false">
      <c r="A132" s="5" t="s">
        <v>428</v>
      </c>
      <c r="B132" s="5" t="s">
        <v>514</v>
      </c>
      <c r="C132" s="5"/>
      <c r="D132" s="5" t="s">
        <v>428</v>
      </c>
      <c r="E132" s="5" t="s">
        <v>59</v>
      </c>
      <c r="F132" s="6" t="n">
        <v>15186.39</v>
      </c>
      <c r="G132" s="7" t="n">
        <v>1258</v>
      </c>
      <c r="H132" s="8" t="n">
        <v>-0.7085</v>
      </c>
      <c r="I132" s="8" t="n">
        <v>-0.7305</v>
      </c>
      <c r="J132" s="7" t="n">
        <v>98</v>
      </c>
      <c r="K132" s="5" t="n">
        <v>12</v>
      </c>
      <c r="L132" s="5" t="n">
        <v>163</v>
      </c>
      <c r="M132" s="5" t="n">
        <v>3.8</v>
      </c>
      <c r="N132" s="9" t="s">
        <v>53</v>
      </c>
      <c r="O132" s="5"/>
      <c r="P132" s="5" t="s">
        <v>515</v>
      </c>
      <c r="Q132" s="14" t="s">
        <v>516</v>
      </c>
      <c r="R132" s="7" t="n">
        <v>732</v>
      </c>
      <c r="S132" s="7" t="n">
        <v>342</v>
      </c>
      <c r="T132" s="5" t="s">
        <v>517</v>
      </c>
      <c r="U132" s="6" t="n">
        <v>112513.71</v>
      </c>
      <c r="V132" s="7" t="n">
        <v>14452</v>
      </c>
      <c r="W132" s="5" t="n">
        <v>144</v>
      </c>
      <c r="X132" s="7" t="n">
        <v>359</v>
      </c>
      <c r="Y132" s="7" t="n">
        <v>821</v>
      </c>
      <c r="Z132" s="7" t="n">
        <v>102</v>
      </c>
      <c r="AA132" s="10" t="n">
        <v>1</v>
      </c>
      <c r="AB132" s="11" t="n">
        <v>29.99</v>
      </c>
      <c r="AC132" s="10"/>
      <c r="AD132" s="12" t="n">
        <v>0.65</v>
      </c>
      <c r="AE132" s="12" t="n">
        <v>0.85</v>
      </c>
      <c r="AF132" s="12" t="n">
        <v>0.89</v>
      </c>
      <c r="AG132" s="7" t="n">
        <v>62</v>
      </c>
      <c r="AH132" s="7" t="n">
        <v>1921</v>
      </c>
      <c r="AI132" s="5" t="s">
        <v>518</v>
      </c>
    </row>
    <row r="133" customFormat="false" ht="15" hidden="false" customHeight="false" outlineLevel="0" collapsed="false">
      <c r="A133" s="5" t="s">
        <v>428</v>
      </c>
      <c r="B133" s="5" t="s">
        <v>519</v>
      </c>
      <c r="C133" s="5" t="s">
        <v>520</v>
      </c>
      <c r="D133" s="5" t="s">
        <v>428</v>
      </c>
      <c r="E133" s="5" t="s">
        <v>52</v>
      </c>
      <c r="F133" s="6" t="n">
        <v>14983.06</v>
      </c>
      <c r="G133" s="7" t="n">
        <v>914</v>
      </c>
      <c r="H133" s="8" t="n">
        <v>-0.209</v>
      </c>
      <c r="I133" s="8" t="n">
        <v>-0.2551</v>
      </c>
      <c r="J133" s="7" t="n">
        <v>166</v>
      </c>
      <c r="K133" s="5" t="n">
        <v>8</v>
      </c>
      <c r="L133" s="5" t="n">
        <v>177</v>
      </c>
      <c r="M133" s="5" t="n">
        <v>2.1</v>
      </c>
      <c r="N133" s="9" t="s">
        <v>53</v>
      </c>
      <c r="O133" s="5"/>
      <c r="P133" s="5"/>
      <c r="Q133" s="5"/>
      <c r="R133" s="7"/>
      <c r="S133" s="7"/>
      <c r="T133" s="5"/>
      <c r="U133" s="6"/>
      <c r="V133" s="7"/>
      <c r="W133" s="5"/>
      <c r="X133" s="7"/>
      <c r="Y133" s="7"/>
      <c r="Z133" s="7"/>
      <c r="AA133" s="10"/>
      <c r="AB133" s="11"/>
      <c r="AC133" s="10"/>
      <c r="AD133" s="12"/>
      <c r="AE133" s="12"/>
      <c r="AF133" s="12"/>
      <c r="AG133" s="7"/>
      <c r="AH133" s="7"/>
      <c r="AI133" s="5" t="s">
        <v>521</v>
      </c>
    </row>
    <row r="134" customFormat="false" ht="15" hidden="false" customHeight="false" outlineLevel="0" collapsed="false">
      <c r="A134" s="5" t="s">
        <v>522</v>
      </c>
      <c r="B134" s="5" t="s">
        <v>523</v>
      </c>
      <c r="C134" s="5"/>
      <c r="D134" s="5" t="s">
        <v>522</v>
      </c>
      <c r="E134" s="5" t="s">
        <v>59</v>
      </c>
      <c r="F134" s="6" t="n">
        <v>13732.53</v>
      </c>
      <c r="G134" s="7" t="n">
        <v>585</v>
      </c>
      <c r="H134" s="8" t="n">
        <v>0.0597</v>
      </c>
      <c r="I134" s="8" t="n">
        <v>0.0598</v>
      </c>
      <c r="J134" s="7" t="n">
        <v>212</v>
      </c>
      <c r="K134" s="5" t="n">
        <v>30</v>
      </c>
      <c r="L134" s="5" t="n">
        <v>57</v>
      </c>
      <c r="M134" s="5" t="n">
        <v>3.7</v>
      </c>
      <c r="N134" s="9" t="s">
        <v>53</v>
      </c>
      <c r="O134" s="5" t="s">
        <v>136</v>
      </c>
      <c r="P134" s="5"/>
      <c r="Q134" s="5"/>
      <c r="R134" s="7"/>
      <c r="S134" s="7"/>
      <c r="T134" s="5" t="s">
        <v>524</v>
      </c>
      <c r="U134" s="6" t="n">
        <v>34103.02</v>
      </c>
      <c r="V134" s="7" t="n">
        <v>1813</v>
      </c>
      <c r="W134" s="5" t="n">
        <v>46</v>
      </c>
      <c r="X134" s="7" t="n">
        <v>179</v>
      </c>
      <c r="Y134" s="7" t="n">
        <v>353</v>
      </c>
      <c r="Z134" s="7" t="n">
        <v>111</v>
      </c>
      <c r="AA134" s="10" t="n">
        <v>6.77</v>
      </c>
      <c r="AB134" s="11" t="n">
        <v>26.59</v>
      </c>
      <c r="AC134" s="10"/>
      <c r="AD134" s="12"/>
      <c r="AE134" s="12"/>
      <c r="AF134" s="12"/>
      <c r="AG134" s="7" t="n">
        <v>41</v>
      </c>
      <c r="AH134" s="7" t="n">
        <v>2983</v>
      </c>
      <c r="AI134" s="5" t="s">
        <v>525</v>
      </c>
    </row>
    <row r="135" customFormat="false" ht="15" hidden="false" customHeight="false" outlineLevel="0" collapsed="false">
      <c r="A135" s="5" t="s">
        <v>522</v>
      </c>
      <c r="B135" s="5" t="s">
        <v>526</v>
      </c>
      <c r="C135" s="5"/>
      <c r="D135" s="5" t="s">
        <v>522</v>
      </c>
      <c r="E135" s="5" t="s">
        <v>52</v>
      </c>
      <c r="F135" s="6" t="n">
        <v>13701.18</v>
      </c>
      <c r="G135" s="7" t="n">
        <v>187</v>
      </c>
      <c r="H135" s="8" t="n">
        <v>0.5156</v>
      </c>
      <c r="I135" s="8" t="n">
        <v>0.2467</v>
      </c>
      <c r="J135" s="7" t="n">
        <v>311</v>
      </c>
      <c r="K135" s="5" t="n">
        <v>14</v>
      </c>
      <c r="L135" s="5" t="n">
        <v>41</v>
      </c>
      <c r="M135" s="5" t="n">
        <v>4.2</v>
      </c>
      <c r="N135" s="9" t="s">
        <v>53</v>
      </c>
      <c r="O135" s="5"/>
      <c r="P135" s="5"/>
      <c r="Q135" s="5"/>
      <c r="R135" s="7"/>
      <c r="S135" s="7"/>
      <c r="T135" s="5"/>
      <c r="U135" s="6"/>
      <c r="V135" s="7"/>
      <c r="W135" s="5"/>
      <c r="X135" s="7"/>
      <c r="Y135" s="7"/>
      <c r="Z135" s="7"/>
      <c r="AA135" s="10"/>
      <c r="AB135" s="11"/>
      <c r="AC135" s="10"/>
      <c r="AD135" s="12"/>
      <c r="AE135" s="12"/>
      <c r="AF135" s="12"/>
      <c r="AG135" s="7"/>
      <c r="AH135" s="7"/>
      <c r="AI135" s="5" t="s">
        <v>527</v>
      </c>
    </row>
    <row r="136" customFormat="false" ht="15" hidden="false" customHeight="false" outlineLevel="0" collapsed="false">
      <c r="A136" s="5" t="s">
        <v>522</v>
      </c>
      <c r="B136" s="5" t="s">
        <v>528</v>
      </c>
      <c r="C136" s="5"/>
      <c r="D136" s="5" t="s">
        <v>522</v>
      </c>
      <c r="E136" s="5" t="s">
        <v>52</v>
      </c>
      <c r="F136" s="6" t="n">
        <v>13413.6</v>
      </c>
      <c r="G136" s="7" t="n">
        <v>2803</v>
      </c>
      <c r="H136" s="8" t="n">
        <v>2.713</v>
      </c>
      <c r="I136" s="8" t="n">
        <v>2.1041</v>
      </c>
      <c r="J136" s="7" t="n">
        <v>98</v>
      </c>
      <c r="K136" s="5" t="n">
        <v>10</v>
      </c>
      <c r="L136" s="5" t="n">
        <v>37</v>
      </c>
      <c r="M136" s="5" t="n">
        <v>4.9</v>
      </c>
      <c r="N136" s="9" t="s">
        <v>53</v>
      </c>
      <c r="O136" s="5"/>
      <c r="P136" s="5"/>
      <c r="Q136" s="5"/>
      <c r="R136" s="7"/>
      <c r="S136" s="7"/>
      <c r="T136" s="5"/>
      <c r="U136" s="6"/>
      <c r="V136" s="7"/>
      <c r="W136" s="5"/>
      <c r="X136" s="7"/>
      <c r="Y136" s="7"/>
      <c r="Z136" s="7"/>
      <c r="AA136" s="10"/>
      <c r="AB136" s="11"/>
      <c r="AC136" s="10"/>
      <c r="AD136" s="12"/>
      <c r="AE136" s="12"/>
      <c r="AF136" s="12"/>
      <c r="AG136" s="7"/>
      <c r="AH136" s="7"/>
      <c r="AI136" s="5" t="s">
        <v>529</v>
      </c>
    </row>
    <row r="137" customFormat="false" ht="15" hidden="false" customHeight="false" outlineLevel="0" collapsed="false">
      <c r="A137" s="5" t="s">
        <v>522</v>
      </c>
      <c r="B137" s="5" t="s">
        <v>530</v>
      </c>
      <c r="C137" s="5" t="s">
        <v>531</v>
      </c>
      <c r="D137" s="5" t="s">
        <v>522</v>
      </c>
      <c r="E137" s="5" t="s">
        <v>52</v>
      </c>
      <c r="F137" s="6" t="n">
        <v>13210.85</v>
      </c>
      <c r="G137" s="7" t="n">
        <v>342</v>
      </c>
      <c r="H137" s="8" t="n">
        <v>-0.3221</v>
      </c>
      <c r="I137" s="8" t="n">
        <v>-0.3307</v>
      </c>
      <c r="J137" s="7" t="n">
        <v>403</v>
      </c>
      <c r="K137" s="5" t="n">
        <v>17</v>
      </c>
      <c r="L137" s="5" t="n">
        <v>17</v>
      </c>
      <c r="M137" s="5" t="n">
        <v>4.3</v>
      </c>
      <c r="N137" s="9" t="s">
        <v>53</v>
      </c>
      <c r="O137" s="5"/>
      <c r="P137" s="5"/>
      <c r="Q137" s="5"/>
      <c r="R137" s="7"/>
      <c r="S137" s="7"/>
      <c r="T137" s="5"/>
      <c r="U137" s="6"/>
      <c r="V137" s="7"/>
      <c r="W137" s="5"/>
      <c r="X137" s="7"/>
      <c r="Y137" s="7"/>
      <c r="Z137" s="7"/>
      <c r="AA137" s="10"/>
      <c r="AB137" s="11"/>
      <c r="AC137" s="10"/>
      <c r="AD137" s="12"/>
      <c r="AE137" s="12"/>
      <c r="AF137" s="12"/>
      <c r="AG137" s="7"/>
      <c r="AH137" s="7"/>
      <c r="AI137" s="5" t="s">
        <v>532</v>
      </c>
    </row>
    <row r="138" customFormat="false" ht="15" hidden="false" customHeight="false" outlineLevel="0" collapsed="false">
      <c r="A138" s="5" t="s">
        <v>522</v>
      </c>
      <c r="B138" s="5" t="s">
        <v>533</v>
      </c>
      <c r="C138" s="5"/>
      <c r="D138" s="5" t="s">
        <v>522</v>
      </c>
      <c r="E138" s="5" t="s">
        <v>59</v>
      </c>
      <c r="F138" s="6" t="n">
        <v>12905.04</v>
      </c>
      <c r="G138" s="7" t="n">
        <v>256</v>
      </c>
      <c r="H138" s="8" t="n">
        <v>-0.0866</v>
      </c>
      <c r="I138" s="8" t="n">
        <v>-0.1351</v>
      </c>
      <c r="J138" s="7" t="n">
        <v>76</v>
      </c>
      <c r="K138" s="5" t="n">
        <v>15</v>
      </c>
      <c r="L138" s="5" t="n">
        <v>29</v>
      </c>
      <c r="M138" s="5" t="n">
        <v>3.9</v>
      </c>
      <c r="N138" s="9" t="s">
        <v>53</v>
      </c>
      <c r="O138" s="5"/>
      <c r="P138" s="5"/>
      <c r="Q138" s="5"/>
      <c r="R138" s="7"/>
      <c r="S138" s="7"/>
      <c r="T138" s="5"/>
      <c r="U138" s="6"/>
      <c r="V138" s="7"/>
      <c r="W138" s="5"/>
      <c r="X138" s="7"/>
      <c r="Y138" s="7"/>
      <c r="Z138" s="7"/>
      <c r="AA138" s="10"/>
      <c r="AB138" s="11"/>
      <c r="AC138" s="10"/>
      <c r="AD138" s="12"/>
      <c r="AE138" s="12"/>
      <c r="AF138" s="12"/>
      <c r="AG138" s="7"/>
      <c r="AH138" s="7"/>
      <c r="AI138" s="5" t="s">
        <v>534</v>
      </c>
    </row>
    <row r="139" customFormat="false" ht="15" hidden="false" customHeight="false" outlineLevel="0" collapsed="false">
      <c r="A139" s="5" t="s">
        <v>522</v>
      </c>
      <c r="B139" s="5" t="s">
        <v>535</v>
      </c>
      <c r="C139" s="5" t="s">
        <v>536</v>
      </c>
      <c r="D139" s="5" t="s">
        <v>522</v>
      </c>
      <c r="E139" s="5" t="s">
        <v>52</v>
      </c>
      <c r="F139" s="6" t="n">
        <v>11976.33</v>
      </c>
      <c r="G139" s="7" t="n">
        <v>436</v>
      </c>
      <c r="H139" s="8" t="n">
        <v>-0.3582</v>
      </c>
      <c r="I139" s="8" t="n">
        <v>-0.3859</v>
      </c>
      <c r="J139" s="7" t="n">
        <v>501</v>
      </c>
      <c r="K139" s="5" t="n">
        <v>33</v>
      </c>
      <c r="L139" s="5" t="n">
        <v>107</v>
      </c>
      <c r="M139" s="5" t="n">
        <v>4.3</v>
      </c>
      <c r="N139" s="9" t="s">
        <v>53</v>
      </c>
      <c r="O139" s="5"/>
      <c r="P139" s="5"/>
      <c r="Q139" s="5"/>
      <c r="R139" s="7"/>
      <c r="S139" s="7"/>
      <c r="T139" s="5"/>
      <c r="U139" s="6"/>
      <c r="V139" s="7"/>
      <c r="W139" s="5"/>
      <c r="X139" s="7"/>
      <c r="Y139" s="7"/>
      <c r="Z139" s="7"/>
      <c r="AA139" s="10"/>
      <c r="AB139" s="11"/>
      <c r="AC139" s="10"/>
      <c r="AD139" s="12"/>
      <c r="AE139" s="12"/>
      <c r="AF139" s="12"/>
      <c r="AG139" s="7"/>
      <c r="AH139" s="7"/>
      <c r="AI139" s="5" t="s">
        <v>537</v>
      </c>
    </row>
    <row r="140" customFormat="false" ht="15" hidden="false" customHeight="false" outlineLevel="0" collapsed="false">
      <c r="A140" s="5" t="s">
        <v>522</v>
      </c>
      <c r="B140" s="5" t="s">
        <v>538</v>
      </c>
      <c r="C140" s="5" t="s">
        <v>538</v>
      </c>
      <c r="D140" s="5" t="s">
        <v>421</v>
      </c>
      <c r="E140" s="5" t="s">
        <v>59</v>
      </c>
      <c r="F140" s="6" t="n">
        <v>11348.03</v>
      </c>
      <c r="G140" s="7" t="n">
        <v>522</v>
      </c>
      <c r="H140" s="8" t="n">
        <v>0.0946</v>
      </c>
      <c r="I140" s="8" t="n">
        <v>0.0038</v>
      </c>
      <c r="J140" s="7" t="n">
        <v>58</v>
      </c>
      <c r="K140" s="5" t="n">
        <v>6</v>
      </c>
      <c r="L140" s="5" t="n">
        <v>102</v>
      </c>
      <c r="M140" s="5" t="n">
        <v>4.1</v>
      </c>
      <c r="N140" s="13" t="s">
        <v>60</v>
      </c>
      <c r="O140" s="5"/>
      <c r="P140" s="5"/>
      <c r="Q140" s="5"/>
      <c r="R140" s="7"/>
      <c r="S140" s="7"/>
      <c r="T140" s="5"/>
      <c r="U140" s="6"/>
      <c r="V140" s="7"/>
      <c r="W140" s="5"/>
      <c r="X140" s="7"/>
      <c r="Y140" s="7"/>
      <c r="Z140" s="7"/>
      <c r="AA140" s="10"/>
      <c r="AB140" s="11"/>
      <c r="AC140" s="10"/>
      <c r="AD140" s="12"/>
      <c r="AE140" s="12"/>
      <c r="AF140" s="12"/>
      <c r="AG140" s="7"/>
      <c r="AH140" s="7"/>
      <c r="AI140" s="5" t="s">
        <v>539</v>
      </c>
    </row>
    <row r="141" customFormat="false" ht="15" hidden="false" customHeight="false" outlineLevel="0" collapsed="false">
      <c r="A141" s="5" t="s">
        <v>522</v>
      </c>
      <c r="B141" s="5" t="s">
        <v>540</v>
      </c>
      <c r="C141" s="5" t="s">
        <v>540</v>
      </c>
      <c r="D141" s="5" t="s">
        <v>522</v>
      </c>
      <c r="E141" s="5" t="s">
        <v>59</v>
      </c>
      <c r="F141" s="6" t="n">
        <v>11306.36</v>
      </c>
      <c r="G141" s="7" t="n">
        <v>346</v>
      </c>
      <c r="H141" s="8" t="n">
        <v>-0.1733</v>
      </c>
      <c r="I141" s="8" t="n">
        <v>-0.1218</v>
      </c>
      <c r="J141" s="7" t="n">
        <v>318</v>
      </c>
      <c r="K141" s="5" t="n">
        <v>24</v>
      </c>
      <c r="L141" s="5" t="n">
        <v>76</v>
      </c>
      <c r="M141" s="5" t="n">
        <v>3.9</v>
      </c>
      <c r="N141" s="9" t="s">
        <v>53</v>
      </c>
      <c r="O141" s="5"/>
      <c r="P141" s="5" t="s">
        <v>541</v>
      </c>
      <c r="Q141" s="14" t="s">
        <v>542</v>
      </c>
      <c r="R141" s="7" t="n">
        <v>14514</v>
      </c>
      <c r="S141" s="7" t="n">
        <v>1094</v>
      </c>
      <c r="T141" s="5" t="s">
        <v>543</v>
      </c>
      <c r="U141" s="6" t="n">
        <v>247248.69</v>
      </c>
      <c r="V141" s="7" t="n">
        <v>8733</v>
      </c>
      <c r="W141" s="5" t="n">
        <v>470</v>
      </c>
      <c r="X141" s="7" t="n">
        <v>17</v>
      </c>
      <c r="Y141" s="7" t="n">
        <v>859</v>
      </c>
      <c r="Z141" s="7" t="n">
        <v>820</v>
      </c>
      <c r="AA141" s="10" t="n">
        <v>8</v>
      </c>
      <c r="AB141" s="11" t="n">
        <v>78</v>
      </c>
      <c r="AC141" s="10" t="n">
        <v>39.02</v>
      </c>
      <c r="AD141" s="12" t="n">
        <v>0.6</v>
      </c>
      <c r="AE141" s="12" t="n">
        <v>0.89</v>
      </c>
      <c r="AF141" s="12" t="n">
        <v>0.96</v>
      </c>
      <c r="AG141" s="7" t="n">
        <v>46</v>
      </c>
      <c r="AH141" s="7" t="n">
        <v>3496</v>
      </c>
      <c r="AI141" s="5" t="s">
        <v>544</v>
      </c>
    </row>
    <row r="142" customFormat="false" ht="15" hidden="false" customHeight="false" outlineLevel="0" collapsed="false">
      <c r="A142" s="5" t="s">
        <v>522</v>
      </c>
      <c r="B142" s="5" t="s">
        <v>545</v>
      </c>
      <c r="C142" s="5" t="s">
        <v>546</v>
      </c>
      <c r="D142" s="5" t="s">
        <v>522</v>
      </c>
      <c r="E142" s="5" t="s">
        <v>59</v>
      </c>
      <c r="F142" s="6" t="n">
        <v>11208.73</v>
      </c>
      <c r="G142" s="7" t="n">
        <v>342</v>
      </c>
      <c r="H142" s="8" t="n">
        <v>-0.3352</v>
      </c>
      <c r="I142" s="8" t="n">
        <v>-0.386</v>
      </c>
      <c r="J142" s="7" t="n">
        <v>57</v>
      </c>
      <c r="K142" s="5" t="n">
        <v>11</v>
      </c>
      <c r="L142" s="5" t="n">
        <v>30</v>
      </c>
      <c r="M142" s="5" t="n">
        <v>4.7</v>
      </c>
      <c r="N142" s="9" t="s">
        <v>53</v>
      </c>
      <c r="O142" s="5"/>
      <c r="P142" s="5"/>
      <c r="Q142" s="5"/>
      <c r="R142" s="7"/>
      <c r="S142" s="7"/>
      <c r="T142" s="5"/>
      <c r="U142" s="6"/>
      <c r="V142" s="7"/>
      <c r="W142" s="5"/>
      <c r="X142" s="7"/>
      <c r="Y142" s="7"/>
      <c r="Z142" s="7"/>
      <c r="AA142" s="10"/>
      <c r="AB142" s="11"/>
      <c r="AC142" s="10"/>
      <c r="AD142" s="12"/>
      <c r="AE142" s="12"/>
      <c r="AF142" s="12"/>
      <c r="AG142" s="7"/>
      <c r="AH142" s="7"/>
      <c r="AI142" s="5" t="s">
        <v>547</v>
      </c>
    </row>
    <row r="143" customFormat="false" ht="15" hidden="false" customHeight="false" outlineLevel="0" collapsed="false">
      <c r="A143" s="5" t="s">
        <v>522</v>
      </c>
      <c r="B143" s="5" t="s">
        <v>548</v>
      </c>
      <c r="C143" s="5" t="s">
        <v>549</v>
      </c>
      <c r="D143" s="5" t="s">
        <v>522</v>
      </c>
      <c r="E143" s="5" t="s">
        <v>59</v>
      </c>
      <c r="F143" s="6" t="n">
        <v>10872.73</v>
      </c>
      <c r="G143" s="7" t="n">
        <v>589</v>
      </c>
      <c r="H143" s="8" t="n">
        <v>0.4827</v>
      </c>
      <c r="I143" s="8" t="n">
        <v>0.4799</v>
      </c>
      <c r="J143" s="7" t="n">
        <v>0</v>
      </c>
      <c r="K143" s="5" t="n">
        <v>8</v>
      </c>
      <c r="L143" s="5" t="n">
        <v>8</v>
      </c>
      <c r="M143" s="5" t="n">
        <v>4.7</v>
      </c>
      <c r="N143" s="9" t="s">
        <v>53</v>
      </c>
      <c r="O143" s="5"/>
      <c r="P143" s="5"/>
      <c r="Q143" s="5"/>
      <c r="R143" s="7"/>
      <c r="S143" s="7"/>
      <c r="T143" s="5"/>
      <c r="U143" s="6"/>
      <c r="V143" s="7"/>
      <c r="W143" s="5"/>
      <c r="X143" s="7"/>
      <c r="Y143" s="7"/>
      <c r="Z143" s="7"/>
      <c r="AA143" s="10"/>
      <c r="AB143" s="11"/>
      <c r="AC143" s="10"/>
      <c r="AD143" s="12"/>
      <c r="AE143" s="12"/>
      <c r="AF143" s="12"/>
      <c r="AG143" s="7"/>
      <c r="AH143" s="7"/>
      <c r="AI143" s="5" t="s">
        <v>550</v>
      </c>
    </row>
    <row r="144" customFormat="false" ht="15" hidden="false" customHeight="false" outlineLevel="0" collapsed="false">
      <c r="A144" s="5" t="s">
        <v>551</v>
      </c>
      <c r="B144" s="5" t="s">
        <v>552</v>
      </c>
      <c r="C144" s="5" t="s">
        <v>553</v>
      </c>
      <c r="D144" s="5" t="s">
        <v>58</v>
      </c>
      <c r="E144" s="5" t="s">
        <v>59</v>
      </c>
      <c r="F144" s="6" t="n">
        <v>28934.02</v>
      </c>
      <c r="G144" s="7" t="n">
        <v>1525</v>
      </c>
      <c r="H144" s="8" t="n">
        <v>-0.0622</v>
      </c>
      <c r="I144" s="8" t="n">
        <v>-0.2045</v>
      </c>
      <c r="J144" s="7" t="n">
        <v>311</v>
      </c>
      <c r="K144" s="5" t="n">
        <v>92</v>
      </c>
      <c r="L144" s="5" t="n">
        <v>3190</v>
      </c>
      <c r="M144" s="5" t="n">
        <v>4.3</v>
      </c>
      <c r="N144" s="13" t="s">
        <v>60</v>
      </c>
      <c r="O144" s="5"/>
      <c r="P144" s="5"/>
      <c r="Q144" s="5"/>
      <c r="R144" s="7"/>
      <c r="S144" s="7"/>
      <c r="T144" s="5"/>
      <c r="U144" s="6"/>
      <c r="V144" s="7"/>
      <c r="W144" s="5"/>
      <c r="X144" s="7"/>
      <c r="Y144" s="7"/>
      <c r="Z144" s="7"/>
      <c r="AA144" s="10"/>
      <c r="AB144" s="11"/>
      <c r="AC144" s="10"/>
      <c r="AD144" s="12"/>
      <c r="AE144" s="12"/>
      <c r="AF144" s="12"/>
      <c r="AG144" s="7"/>
      <c r="AH144" s="7"/>
      <c r="AI144" s="5" t="s">
        <v>554</v>
      </c>
    </row>
    <row r="145" customFormat="false" ht="15" hidden="false" customHeight="false" outlineLevel="0" collapsed="false">
      <c r="A145" s="5" t="s">
        <v>551</v>
      </c>
      <c r="B145" s="5" t="s">
        <v>555</v>
      </c>
      <c r="C145" s="5" t="s">
        <v>555</v>
      </c>
      <c r="D145" s="5" t="s">
        <v>551</v>
      </c>
      <c r="E145" s="5" t="s">
        <v>59</v>
      </c>
      <c r="F145" s="6" t="n">
        <v>28220.56</v>
      </c>
      <c r="G145" s="7" t="n">
        <v>3384</v>
      </c>
      <c r="H145" s="8" t="n">
        <v>0.2473</v>
      </c>
      <c r="I145" s="8" t="n">
        <v>-0.1024</v>
      </c>
      <c r="J145" s="7" t="n">
        <v>3126</v>
      </c>
      <c r="K145" s="5" t="n">
        <v>117</v>
      </c>
      <c r="L145" s="5" t="n">
        <v>123</v>
      </c>
      <c r="M145" s="5" t="n">
        <v>4.8</v>
      </c>
      <c r="N145" s="9" t="s">
        <v>53</v>
      </c>
      <c r="O145" s="5"/>
      <c r="P145" s="5" t="s">
        <v>556</v>
      </c>
      <c r="Q145" s="14" t="s">
        <v>557</v>
      </c>
      <c r="R145" s="7" t="n">
        <v>25116</v>
      </c>
      <c r="S145" s="7" t="n">
        <v>1077</v>
      </c>
      <c r="T145" s="5" t="s">
        <v>558</v>
      </c>
      <c r="U145" s="6" t="n">
        <v>619150.68</v>
      </c>
      <c r="V145" s="7" t="n">
        <v>120220</v>
      </c>
      <c r="W145" s="5" t="n">
        <v>559</v>
      </c>
      <c r="X145" s="7" t="n">
        <v>198</v>
      </c>
      <c r="Y145" s="7" t="n">
        <v>1274</v>
      </c>
      <c r="Z145" s="7" t="n">
        <v>1131</v>
      </c>
      <c r="AA145" s="10" t="n">
        <v>0.15</v>
      </c>
      <c r="AB145" s="11" t="n">
        <v>119</v>
      </c>
      <c r="AC145" s="10" t="n">
        <v>11.08</v>
      </c>
      <c r="AD145" s="12" t="n">
        <v>0.8</v>
      </c>
      <c r="AE145" s="12" t="n">
        <v>0.99</v>
      </c>
      <c r="AF145" s="12" t="n">
        <v>1</v>
      </c>
      <c r="AG145" s="7" t="n">
        <v>23</v>
      </c>
      <c r="AH145" s="7" t="n">
        <v>1757</v>
      </c>
      <c r="AI145" s="5" t="s">
        <v>559</v>
      </c>
    </row>
    <row r="146" customFormat="false" ht="15" hidden="false" customHeight="false" outlineLevel="0" collapsed="false">
      <c r="A146" s="5" t="s">
        <v>551</v>
      </c>
      <c r="B146" s="5" t="s">
        <v>560</v>
      </c>
      <c r="C146" s="5" t="s">
        <v>561</v>
      </c>
      <c r="D146" s="5" t="s">
        <v>353</v>
      </c>
      <c r="E146" s="5" t="s">
        <v>59</v>
      </c>
      <c r="F146" s="6" t="n">
        <v>26837.8</v>
      </c>
      <c r="G146" s="7" t="n">
        <v>1993</v>
      </c>
      <c r="H146" s="8" t="n">
        <v>0.4896</v>
      </c>
      <c r="I146" s="8" t="n">
        <v>0.5486</v>
      </c>
      <c r="J146" s="7" t="n">
        <v>340</v>
      </c>
      <c r="K146" s="5" t="n">
        <v>28</v>
      </c>
      <c r="L146" s="5" t="n">
        <v>519</v>
      </c>
      <c r="M146" s="5" t="n">
        <v>4.4</v>
      </c>
      <c r="N146" s="15" t="s">
        <v>111</v>
      </c>
      <c r="O146" s="5" t="s">
        <v>562</v>
      </c>
      <c r="P146" s="5"/>
      <c r="Q146" s="5"/>
      <c r="R146" s="7"/>
      <c r="S146" s="7"/>
      <c r="T146" s="5"/>
      <c r="U146" s="6"/>
      <c r="V146" s="7"/>
      <c r="W146" s="5"/>
      <c r="X146" s="7"/>
      <c r="Y146" s="7"/>
      <c r="Z146" s="7"/>
      <c r="AA146" s="10"/>
      <c r="AB146" s="11"/>
      <c r="AC146" s="10"/>
      <c r="AD146" s="12"/>
      <c r="AE146" s="12"/>
      <c r="AF146" s="12"/>
      <c r="AG146" s="7"/>
      <c r="AH146" s="7"/>
      <c r="AI146" s="5" t="s">
        <v>563</v>
      </c>
    </row>
    <row r="147" customFormat="false" ht="15" hidden="false" customHeight="false" outlineLevel="0" collapsed="false">
      <c r="A147" s="5" t="s">
        <v>551</v>
      </c>
      <c r="B147" s="5" t="s">
        <v>564</v>
      </c>
      <c r="C147" s="5"/>
      <c r="D147" s="5" t="s">
        <v>551</v>
      </c>
      <c r="E147" s="5" t="s">
        <v>59</v>
      </c>
      <c r="F147" s="6" t="n">
        <v>26755.42</v>
      </c>
      <c r="G147" s="7" t="n">
        <v>1515</v>
      </c>
      <c r="H147" s="8" t="n">
        <v>0.4946</v>
      </c>
      <c r="I147" s="8" t="n">
        <v>0.5045</v>
      </c>
      <c r="J147" s="7" t="n">
        <v>107</v>
      </c>
      <c r="K147" s="5" t="n">
        <v>33</v>
      </c>
      <c r="L147" s="5" t="n">
        <v>59</v>
      </c>
      <c r="M147" s="5" t="n">
        <v>3.7</v>
      </c>
      <c r="N147" s="9" t="s">
        <v>53</v>
      </c>
      <c r="O147" s="5"/>
      <c r="P147" s="5"/>
      <c r="Q147" s="5"/>
      <c r="R147" s="7"/>
      <c r="S147" s="7"/>
      <c r="T147" s="5"/>
      <c r="U147" s="6"/>
      <c r="V147" s="7"/>
      <c r="W147" s="5"/>
      <c r="X147" s="7"/>
      <c r="Y147" s="7"/>
      <c r="Z147" s="7"/>
      <c r="AA147" s="10"/>
      <c r="AB147" s="11"/>
      <c r="AC147" s="10"/>
      <c r="AD147" s="12"/>
      <c r="AE147" s="12"/>
      <c r="AF147" s="12"/>
      <c r="AG147" s="7"/>
      <c r="AH147" s="7"/>
      <c r="AI147" s="5" t="s">
        <v>565</v>
      </c>
    </row>
    <row r="148" customFormat="false" ht="15" hidden="false" customHeight="false" outlineLevel="0" collapsed="false">
      <c r="A148" s="5" t="s">
        <v>551</v>
      </c>
      <c r="B148" s="5" t="s">
        <v>566</v>
      </c>
      <c r="C148" s="5" t="s">
        <v>566</v>
      </c>
      <c r="D148" s="5" t="s">
        <v>58</v>
      </c>
      <c r="E148" s="5" t="s">
        <v>59</v>
      </c>
      <c r="F148" s="6" t="n">
        <v>26661.61</v>
      </c>
      <c r="G148" s="7" t="n">
        <v>1056</v>
      </c>
      <c r="H148" s="8" t="n">
        <v>0.0871</v>
      </c>
      <c r="I148" s="8" t="n">
        <v>0.0252</v>
      </c>
      <c r="J148" s="7" t="n">
        <v>91</v>
      </c>
      <c r="K148" s="5" t="n">
        <v>12</v>
      </c>
      <c r="L148" s="5" t="n">
        <v>445</v>
      </c>
      <c r="M148" s="5" t="n">
        <v>4.7</v>
      </c>
      <c r="N148" s="13" t="s">
        <v>60</v>
      </c>
      <c r="O148" s="5"/>
      <c r="P148" s="5"/>
      <c r="Q148" s="5"/>
      <c r="R148" s="7"/>
      <c r="S148" s="7"/>
      <c r="T148" s="5"/>
      <c r="U148" s="6"/>
      <c r="V148" s="7"/>
      <c r="W148" s="5"/>
      <c r="X148" s="7"/>
      <c r="Y148" s="7"/>
      <c r="Z148" s="7"/>
      <c r="AA148" s="10"/>
      <c r="AB148" s="11"/>
      <c r="AC148" s="10"/>
      <c r="AD148" s="12"/>
      <c r="AE148" s="12"/>
      <c r="AF148" s="12"/>
      <c r="AG148" s="7"/>
      <c r="AH148" s="7"/>
      <c r="AI148" s="5" t="s">
        <v>567</v>
      </c>
    </row>
    <row r="149" customFormat="false" ht="15" hidden="false" customHeight="false" outlineLevel="0" collapsed="false">
      <c r="A149" s="5" t="s">
        <v>551</v>
      </c>
      <c r="B149" s="5" t="s">
        <v>568</v>
      </c>
      <c r="C149" s="5" t="s">
        <v>569</v>
      </c>
      <c r="D149" s="5" t="s">
        <v>551</v>
      </c>
      <c r="E149" s="5" t="s">
        <v>59</v>
      </c>
      <c r="F149" s="6" t="n">
        <v>25309.06</v>
      </c>
      <c r="G149" s="7" t="n">
        <v>1832</v>
      </c>
      <c r="H149" s="8" t="n">
        <v>1.4575</v>
      </c>
      <c r="I149" s="8" t="n">
        <v>1.1377</v>
      </c>
      <c r="J149" s="7" t="n">
        <v>264</v>
      </c>
      <c r="K149" s="5" t="n">
        <v>10</v>
      </c>
      <c r="L149" s="5" t="n">
        <v>12</v>
      </c>
      <c r="M149" s="5" t="n">
        <v>4.8</v>
      </c>
      <c r="N149" s="9" t="s">
        <v>53</v>
      </c>
      <c r="O149" s="5"/>
      <c r="P149" s="5"/>
      <c r="Q149" s="5"/>
      <c r="R149" s="7"/>
      <c r="S149" s="7"/>
      <c r="T149" s="5"/>
      <c r="U149" s="6"/>
      <c r="V149" s="7"/>
      <c r="W149" s="5"/>
      <c r="X149" s="7"/>
      <c r="Y149" s="7"/>
      <c r="Z149" s="7"/>
      <c r="AA149" s="10"/>
      <c r="AB149" s="11"/>
      <c r="AC149" s="10"/>
      <c r="AD149" s="12"/>
      <c r="AE149" s="12"/>
      <c r="AF149" s="12"/>
      <c r="AG149" s="7"/>
      <c r="AH149" s="7"/>
      <c r="AI149" s="5" t="s">
        <v>570</v>
      </c>
    </row>
    <row r="150" customFormat="false" ht="15" hidden="false" customHeight="false" outlineLevel="0" collapsed="false">
      <c r="A150" s="5" t="s">
        <v>551</v>
      </c>
      <c r="B150" s="5" t="s">
        <v>571</v>
      </c>
      <c r="C150" s="5"/>
      <c r="D150" s="5" t="s">
        <v>551</v>
      </c>
      <c r="E150" s="5" t="s">
        <v>52</v>
      </c>
      <c r="F150" s="6" t="n">
        <v>25090</v>
      </c>
      <c r="G150" s="7" t="n">
        <v>2706</v>
      </c>
      <c r="H150" s="8" t="n">
        <v>0.7003</v>
      </c>
      <c r="I150" s="8" t="n">
        <v>0.874</v>
      </c>
      <c r="J150" s="7" t="n">
        <v>97</v>
      </c>
      <c r="K150" s="5" t="n">
        <v>20</v>
      </c>
      <c r="L150" s="5" t="n">
        <v>75</v>
      </c>
      <c r="M150" s="5" t="n">
        <v>4.3</v>
      </c>
      <c r="N150" s="9" t="s">
        <v>53</v>
      </c>
      <c r="O150" s="5"/>
      <c r="P150" s="5"/>
      <c r="Q150" s="5"/>
      <c r="R150" s="7"/>
      <c r="S150" s="7"/>
      <c r="T150" s="5"/>
      <c r="U150" s="6"/>
      <c r="V150" s="7"/>
      <c r="W150" s="5"/>
      <c r="X150" s="7"/>
      <c r="Y150" s="7"/>
      <c r="Z150" s="7"/>
      <c r="AA150" s="10"/>
      <c r="AB150" s="11"/>
      <c r="AC150" s="10"/>
      <c r="AD150" s="12"/>
      <c r="AE150" s="12"/>
      <c r="AF150" s="12"/>
      <c r="AG150" s="7"/>
      <c r="AH150" s="7"/>
      <c r="AI150" s="5" t="s">
        <v>572</v>
      </c>
    </row>
    <row r="151" customFormat="false" ht="15" hidden="false" customHeight="false" outlineLevel="0" collapsed="false">
      <c r="A151" s="5" t="s">
        <v>551</v>
      </c>
      <c r="B151" s="5" t="s">
        <v>573</v>
      </c>
      <c r="C151" s="5" t="s">
        <v>574</v>
      </c>
      <c r="D151" s="5" t="s">
        <v>551</v>
      </c>
      <c r="E151" s="5" t="s">
        <v>59</v>
      </c>
      <c r="F151" s="6" t="n">
        <v>24430.02</v>
      </c>
      <c r="G151" s="7" t="n">
        <v>1917</v>
      </c>
      <c r="H151" s="8" t="n">
        <v>0.2727</v>
      </c>
      <c r="I151" s="8" t="n">
        <v>-0.0415</v>
      </c>
      <c r="J151" s="7" t="n">
        <v>221</v>
      </c>
      <c r="K151" s="5" t="n">
        <v>15</v>
      </c>
      <c r="L151" s="5" t="n">
        <v>21</v>
      </c>
      <c r="M151" s="5" t="n">
        <v>3.8</v>
      </c>
      <c r="N151" s="9" t="s">
        <v>53</v>
      </c>
      <c r="O151" s="5"/>
      <c r="P151" s="5"/>
      <c r="Q151" s="5"/>
      <c r="R151" s="7"/>
      <c r="S151" s="7"/>
      <c r="T151" s="5"/>
      <c r="U151" s="6"/>
      <c r="V151" s="7"/>
      <c r="W151" s="5"/>
      <c r="X151" s="7"/>
      <c r="Y151" s="7"/>
      <c r="Z151" s="7"/>
      <c r="AA151" s="10"/>
      <c r="AB151" s="11"/>
      <c r="AC151" s="10"/>
      <c r="AD151" s="12"/>
      <c r="AE151" s="12"/>
      <c r="AF151" s="12"/>
      <c r="AG151" s="7"/>
      <c r="AH151" s="7"/>
      <c r="AI151" s="5" t="s">
        <v>575</v>
      </c>
    </row>
    <row r="152" customFormat="false" ht="15" hidden="false" customHeight="false" outlineLevel="0" collapsed="false">
      <c r="A152" s="5" t="s">
        <v>551</v>
      </c>
      <c r="B152" s="5" t="s">
        <v>576</v>
      </c>
      <c r="C152" s="5" t="s">
        <v>576</v>
      </c>
      <c r="D152" s="5" t="s">
        <v>551</v>
      </c>
      <c r="E152" s="5" t="s">
        <v>59</v>
      </c>
      <c r="F152" s="6" t="n">
        <v>23765.93</v>
      </c>
      <c r="G152" s="7" t="n">
        <v>3027</v>
      </c>
      <c r="H152" s="8" t="n">
        <v>-0.2874</v>
      </c>
      <c r="I152" s="8" t="n">
        <v>-0.2311</v>
      </c>
      <c r="J152" s="7" t="n">
        <v>1125</v>
      </c>
      <c r="K152" s="5" t="n">
        <v>108</v>
      </c>
      <c r="L152" s="5" t="n">
        <v>132</v>
      </c>
      <c r="M152" s="5" t="n">
        <v>4.9</v>
      </c>
      <c r="N152" s="9" t="s">
        <v>53</v>
      </c>
      <c r="O152" s="5"/>
      <c r="P152" s="5" t="s">
        <v>577</v>
      </c>
      <c r="Q152" s="14" t="s">
        <v>578</v>
      </c>
      <c r="R152" s="7" t="n">
        <v>6980</v>
      </c>
      <c r="S152" s="7" t="n">
        <v>611</v>
      </c>
      <c r="T152" s="5" t="s">
        <v>579</v>
      </c>
      <c r="U152" s="6" t="n">
        <v>381181.49</v>
      </c>
      <c r="V152" s="7" t="n">
        <v>60247</v>
      </c>
      <c r="W152" s="5" t="n">
        <v>403</v>
      </c>
      <c r="X152" s="7" t="n">
        <v>2</v>
      </c>
      <c r="Y152" s="7" t="n">
        <v>646</v>
      </c>
      <c r="Z152" s="7" t="n">
        <v>209</v>
      </c>
      <c r="AA152" s="10" t="n">
        <v>0.85</v>
      </c>
      <c r="AB152" s="11" t="n">
        <v>59.99</v>
      </c>
      <c r="AC152" s="10" t="n">
        <v>7.25</v>
      </c>
      <c r="AD152" s="12" t="n">
        <v>0.81</v>
      </c>
      <c r="AE152" s="12" t="n">
        <v>0.96</v>
      </c>
      <c r="AF152" s="12" t="n">
        <v>1</v>
      </c>
      <c r="AG152" s="7" t="n">
        <v>29</v>
      </c>
      <c r="AH152" s="7" t="n">
        <v>1911</v>
      </c>
      <c r="AI152" s="5" t="s">
        <v>580</v>
      </c>
    </row>
    <row r="153" customFormat="false" ht="15" hidden="false" customHeight="false" outlineLevel="0" collapsed="false">
      <c r="A153" s="5" t="s">
        <v>551</v>
      </c>
      <c r="B153" s="5" t="s">
        <v>581</v>
      </c>
      <c r="C153" s="5" t="s">
        <v>582</v>
      </c>
      <c r="D153" s="5" t="s">
        <v>551</v>
      </c>
      <c r="E153" s="5" t="s">
        <v>59</v>
      </c>
      <c r="F153" s="6" t="n">
        <v>22985.07</v>
      </c>
      <c r="G153" s="7" t="n">
        <v>717</v>
      </c>
      <c r="H153" s="8" t="n">
        <v>-0.2441</v>
      </c>
      <c r="I153" s="8" t="n">
        <v>-0.2859</v>
      </c>
      <c r="J153" s="7" t="n">
        <v>42</v>
      </c>
      <c r="K153" s="5" t="n">
        <v>21</v>
      </c>
      <c r="L153" s="5" t="n">
        <v>19</v>
      </c>
      <c r="M153" s="5" t="n">
        <v>3.6</v>
      </c>
      <c r="N153" s="9" t="s">
        <v>53</v>
      </c>
      <c r="O153" s="5"/>
      <c r="P153" s="5"/>
      <c r="Q153" s="5"/>
      <c r="R153" s="7"/>
      <c r="S153" s="7"/>
      <c r="T153" s="5"/>
      <c r="U153" s="6"/>
      <c r="V153" s="7"/>
      <c r="W153" s="5"/>
      <c r="X153" s="7"/>
      <c r="Y153" s="7"/>
      <c r="Z153" s="7"/>
      <c r="AA153" s="10"/>
      <c r="AB153" s="11"/>
      <c r="AC153" s="10"/>
      <c r="AD153" s="12"/>
      <c r="AE153" s="12"/>
      <c r="AF153" s="12"/>
      <c r="AG153" s="7"/>
      <c r="AH153" s="7"/>
      <c r="AI153" s="5" t="s">
        <v>583</v>
      </c>
    </row>
    <row r="154" customFormat="false" ht="15" hidden="false" customHeight="false" outlineLevel="0" collapsed="false">
      <c r="A154" s="5" t="s">
        <v>208</v>
      </c>
      <c r="B154" s="5" t="s">
        <v>584</v>
      </c>
      <c r="C154" s="5" t="s">
        <v>585</v>
      </c>
      <c r="D154" s="5" t="s">
        <v>319</v>
      </c>
      <c r="E154" s="5" t="s">
        <v>52</v>
      </c>
      <c r="F154" s="6" t="n">
        <v>11075.7</v>
      </c>
      <c r="G154" s="7" t="n">
        <v>1690</v>
      </c>
      <c r="H154" s="8" t="n">
        <v>2.8661</v>
      </c>
      <c r="I154" s="8" t="n">
        <v>2.6501</v>
      </c>
      <c r="J154" s="7" t="n">
        <v>42</v>
      </c>
      <c r="K154" s="5" t="n">
        <v>1</v>
      </c>
      <c r="L154" s="5" t="n">
        <v>60</v>
      </c>
      <c r="M154" s="5" t="n">
        <v>4.3</v>
      </c>
      <c r="N154" s="15" t="s">
        <v>111</v>
      </c>
      <c r="O154" s="5" t="s">
        <v>586</v>
      </c>
      <c r="P154" s="5"/>
      <c r="Q154" s="5"/>
      <c r="R154" s="7"/>
      <c r="S154" s="7"/>
      <c r="T154" s="5"/>
      <c r="U154" s="6"/>
      <c r="V154" s="7"/>
      <c r="W154" s="5"/>
      <c r="X154" s="7"/>
      <c r="Y154" s="7"/>
      <c r="Z154" s="7"/>
      <c r="AA154" s="10"/>
      <c r="AB154" s="11"/>
      <c r="AC154" s="10"/>
      <c r="AD154" s="12"/>
      <c r="AE154" s="12"/>
      <c r="AF154" s="12"/>
      <c r="AG154" s="7"/>
      <c r="AH154" s="7"/>
      <c r="AI154" s="5" t="s">
        <v>587</v>
      </c>
    </row>
    <row r="155" customFormat="false" ht="15" hidden="false" customHeight="false" outlineLevel="0" collapsed="false">
      <c r="A155" s="5" t="s">
        <v>208</v>
      </c>
      <c r="B155" s="5" t="s">
        <v>588</v>
      </c>
      <c r="C155" s="5" t="s">
        <v>589</v>
      </c>
      <c r="D155" s="5" t="s">
        <v>208</v>
      </c>
      <c r="E155" s="5" t="s">
        <v>52</v>
      </c>
      <c r="F155" s="6" t="n">
        <v>10965.78</v>
      </c>
      <c r="G155" s="7" t="n">
        <v>238</v>
      </c>
      <c r="H155" s="8" t="n">
        <v>-0.2028</v>
      </c>
      <c r="I155" s="8" t="n">
        <v>-0.242</v>
      </c>
      <c r="J155" s="7" t="n">
        <v>188</v>
      </c>
      <c r="K155" s="5" t="n">
        <v>4</v>
      </c>
      <c r="L155" s="5" t="n">
        <v>4</v>
      </c>
      <c r="M155" s="5" t="n">
        <v>4</v>
      </c>
      <c r="N155" s="9" t="s">
        <v>53</v>
      </c>
      <c r="O155" s="5"/>
      <c r="P155" s="5"/>
      <c r="Q155" s="5"/>
      <c r="R155" s="7"/>
      <c r="S155" s="7"/>
      <c r="T155" s="5"/>
      <c r="U155" s="6"/>
      <c r="V155" s="7"/>
      <c r="W155" s="5"/>
      <c r="X155" s="7"/>
      <c r="Y155" s="7"/>
      <c r="Z155" s="7"/>
      <c r="AA155" s="10"/>
      <c r="AB155" s="11"/>
      <c r="AC155" s="10"/>
      <c r="AD155" s="12"/>
      <c r="AE155" s="12"/>
      <c r="AF155" s="12"/>
      <c r="AG155" s="7"/>
      <c r="AH155" s="7"/>
      <c r="AI155" s="5" t="s">
        <v>590</v>
      </c>
    </row>
    <row r="156" customFormat="false" ht="15" hidden="false" customHeight="false" outlineLevel="0" collapsed="false">
      <c r="A156" s="5" t="s">
        <v>208</v>
      </c>
      <c r="B156" s="5" t="s">
        <v>591</v>
      </c>
      <c r="C156" s="5"/>
      <c r="D156" s="5" t="s">
        <v>208</v>
      </c>
      <c r="E156" s="5" t="s">
        <v>59</v>
      </c>
      <c r="F156" s="6" t="n">
        <v>10760.43</v>
      </c>
      <c r="G156" s="7" t="n">
        <v>592</v>
      </c>
      <c r="H156" s="8" t="n">
        <v>67.0023</v>
      </c>
      <c r="I156" s="8" t="n">
        <v>83.5714</v>
      </c>
      <c r="J156" s="7" t="n">
        <v>40</v>
      </c>
      <c r="K156" s="5" t="n">
        <v>22</v>
      </c>
      <c r="L156" s="5" t="n">
        <v>26</v>
      </c>
      <c r="M156" s="5" t="n">
        <v>4.5</v>
      </c>
      <c r="N156" s="9" t="s">
        <v>53</v>
      </c>
      <c r="O156" s="5" t="s">
        <v>136</v>
      </c>
      <c r="P156" s="5"/>
      <c r="Q156" s="5"/>
      <c r="R156" s="7"/>
      <c r="S156" s="7"/>
      <c r="T156" s="5" t="s">
        <v>592</v>
      </c>
      <c r="U156" s="6" t="n">
        <v>11520.43</v>
      </c>
      <c r="V156" s="7" t="n">
        <v>804</v>
      </c>
      <c r="W156" s="5" t="n">
        <v>37</v>
      </c>
      <c r="X156" s="7" t="n">
        <v>35</v>
      </c>
      <c r="Y156" s="7" t="n">
        <v>74</v>
      </c>
      <c r="Z156" s="7" t="n">
        <v>8</v>
      </c>
      <c r="AA156" s="10" t="n">
        <v>6.6</v>
      </c>
      <c r="AB156" s="11" t="n">
        <v>89.9</v>
      </c>
      <c r="AC156" s="10"/>
      <c r="AD156" s="12"/>
      <c r="AE156" s="12"/>
      <c r="AF156" s="12"/>
      <c r="AG156" s="7" t="n">
        <v>160</v>
      </c>
      <c r="AH156" s="7" t="n">
        <v>3694</v>
      </c>
      <c r="AI156" s="5" t="s">
        <v>593</v>
      </c>
    </row>
    <row r="157" customFormat="false" ht="15" hidden="false" customHeight="false" outlineLevel="0" collapsed="false">
      <c r="A157" s="5" t="s">
        <v>208</v>
      </c>
      <c r="B157" s="5" t="s">
        <v>594</v>
      </c>
      <c r="C157" s="5"/>
      <c r="D157" s="5" t="s">
        <v>208</v>
      </c>
      <c r="E157" s="5" t="s">
        <v>52</v>
      </c>
      <c r="F157" s="6" t="n">
        <v>10662.78</v>
      </c>
      <c r="G157" s="7" t="n">
        <v>886</v>
      </c>
      <c r="H157" s="8" t="n">
        <v>-0.5034</v>
      </c>
      <c r="I157" s="8" t="n">
        <v>-0.4767</v>
      </c>
      <c r="J157" s="7" t="n">
        <v>63</v>
      </c>
      <c r="K157" s="5" t="n">
        <v>19</v>
      </c>
      <c r="L157" s="5" t="n">
        <v>267</v>
      </c>
      <c r="M157" s="5" t="n">
        <v>3.8</v>
      </c>
      <c r="N157" s="9" t="s">
        <v>53</v>
      </c>
      <c r="O157" s="5"/>
      <c r="P157" s="5"/>
      <c r="Q157" s="5"/>
      <c r="R157" s="7"/>
      <c r="S157" s="7"/>
      <c r="T157" s="5"/>
      <c r="U157" s="6"/>
      <c r="V157" s="7"/>
      <c r="W157" s="5"/>
      <c r="X157" s="7"/>
      <c r="Y157" s="7"/>
      <c r="Z157" s="7"/>
      <c r="AA157" s="10"/>
      <c r="AB157" s="11"/>
      <c r="AC157" s="10"/>
      <c r="AD157" s="12"/>
      <c r="AE157" s="12"/>
      <c r="AF157" s="12"/>
      <c r="AG157" s="7"/>
      <c r="AH157" s="7"/>
      <c r="AI157" s="5" t="s">
        <v>595</v>
      </c>
    </row>
    <row r="158" customFormat="false" ht="15" hidden="false" customHeight="false" outlineLevel="0" collapsed="false">
      <c r="A158" s="5" t="s">
        <v>208</v>
      </c>
      <c r="B158" s="5" t="s">
        <v>596</v>
      </c>
      <c r="C158" s="5"/>
      <c r="D158" s="5" t="s">
        <v>381</v>
      </c>
      <c r="E158" s="5" t="s">
        <v>59</v>
      </c>
      <c r="F158" s="6" t="n">
        <v>10655.05</v>
      </c>
      <c r="G158" s="7" t="n">
        <v>65</v>
      </c>
      <c r="H158" s="8" t="n">
        <v>-0.521</v>
      </c>
      <c r="I158" s="8" t="n">
        <v>-0.5938</v>
      </c>
      <c r="J158" s="7" t="n">
        <v>128</v>
      </c>
      <c r="K158" s="5" t="n">
        <v>3</v>
      </c>
      <c r="L158" s="5" t="n">
        <v>32</v>
      </c>
      <c r="M158" s="5" t="n">
        <v>4.4</v>
      </c>
      <c r="N158" s="13" t="s">
        <v>60</v>
      </c>
      <c r="O158" s="5"/>
      <c r="P158" s="5"/>
      <c r="Q158" s="5"/>
      <c r="R158" s="7"/>
      <c r="S158" s="7"/>
      <c r="T158" s="5"/>
      <c r="U158" s="6"/>
      <c r="V158" s="7"/>
      <c r="W158" s="5"/>
      <c r="X158" s="7"/>
      <c r="Y158" s="7"/>
      <c r="Z158" s="7"/>
      <c r="AA158" s="10"/>
      <c r="AB158" s="11"/>
      <c r="AC158" s="10"/>
      <c r="AD158" s="12"/>
      <c r="AE158" s="12"/>
      <c r="AF158" s="12"/>
      <c r="AG158" s="7"/>
      <c r="AH158" s="7"/>
      <c r="AI158" s="5" t="s">
        <v>597</v>
      </c>
    </row>
    <row r="159" customFormat="false" ht="15" hidden="false" customHeight="false" outlineLevel="0" collapsed="false">
      <c r="A159" s="5" t="s">
        <v>208</v>
      </c>
      <c r="B159" s="5" t="s">
        <v>598</v>
      </c>
      <c r="C159" s="5"/>
      <c r="D159" s="5" t="s">
        <v>208</v>
      </c>
      <c r="E159" s="5" t="s">
        <v>52</v>
      </c>
      <c r="F159" s="6" t="n">
        <v>10649.55</v>
      </c>
      <c r="G159" s="7" t="n">
        <v>1401</v>
      </c>
      <c r="H159" s="8" t="n">
        <v>0.4905</v>
      </c>
      <c r="I159" s="8" t="n">
        <v>-0.0216</v>
      </c>
      <c r="J159" s="7" t="n">
        <v>93</v>
      </c>
      <c r="K159" s="5" t="n">
        <v>8</v>
      </c>
      <c r="L159" s="5" t="n">
        <v>150</v>
      </c>
      <c r="M159" s="5" t="n">
        <v>3.9</v>
      </c>
      <c r="N159" s="9" t="s">
        <v>53</v>
      </c>
      <c r="O159" s="5"/>
      <c r="P159" s="5"/>
      <c r="Q159" s="5"/>
      <c r="R159" s="7"/>
      <c r="S159" s="7"/>
      <c r="T159" s="5"/>
      <c r="U159" s="6"/>
      <c r="V159" s="7"/>
      <c r="W159" s="5"/>
      <c r="X159" s="7"/>
      <c r="Y159" s="7"/>
      <c r="Z159" s="7"/>
      <c r="AA159" s="10"/>
      <c r="AB159" s="11"/>
      <c r="AC159" s="10"/>
      <c r="AD159" s="12"/>
      <c r="AE159" s="12"/>
      <c r="AF159" s="12"/>
      <c r="AG159" s="7"/>
      <c r="AH159" s="7"/>
      <c r="AI159" s="5" t="s">
        <v>599</v>
      </c>
    </row>
    <row r="160" customFormat="false" ht="15" hidden="false" customHeight="false" outlineLevel="0" collapsed="false">
      <c r="A160" s="5" t="s">
        <v>208</v>
      </c>
      <c r="B160" s="5" t="s">
        <v>600</v>
      </c>
      <c r="C160" s="5"/>
      <c r="D160" s="5" t="s">
        <v>208</v>
      </c>
      <c r="E160" s="5" t="s">
        <v>59</v>
      </c>
      <c r="F160" s="6" t="n">
        <v>10570.39</v>
      </c>
      <c r="G160" s="7" t="n">
        <v>714</v>
      </c>
      <c r="H160" s="8" t="n">
        <v>2.252</v>
      </c>
      <c r="I160" s="8" t="n">
        <v>0.6081</v>
      </c>
      <c r="J160" s="7" t="n">
        <v>27</v>
      </c>
      <c r="K160" s="5" t="n">
        <v>10</v>
      </c>
      <c r="L160" s="5" t="n">
        <v>115</v>
      </c>
      <c r="M160" s="5" t="n">
        <v>4.6</v>
      </c>
      <c r="N160" s="9" t="s">
        <v>53</v>
      </c>
      <c r="O160" s="5" t="s">
        <v>136</v>
      </c>
      <c r="P160" s="5"/>
      <c r="Q160" s="5"/>
      <c r="R160" s="7"/>
      <c r="S160" s="7"/>
      <c r="T160" s="5" t="s">
        <v>601</v>
      </c>
      <c r="U160" s="6" t="n">
        <v>141223.82</v>
      </c>
      <c r="V160" s="7" t="n">
        <v>21032</v>
      </c>
      <c r="W160" s="5" t="n">
        <v>414</v>
      </c>
      <c r="X160" s="7" t="n">
        <v>134</v>
      </c>
      <c r="Y160" s="7" t="n">
        <v>189</v>
      </c>
      <c r="Z160" s="7" t="n">
        <v>50</v>
      </c>
      <c r="AA160" s="10" t="n">
        <v>2.28</v>
      </c>
      <c r="AB160" s="11" t="n">
        <v>77.23</v>
      </c>
      <c r="AC160" s="10" t="n">
        <v>5.27</v>
      </c>
      <c r="AD160" s="12" t="n">
        <v>0.89</v>
      </c>
      <c r="AE160" s="12" t="n">
        <v>0.79</v>
      </c>
      <c r="AF160" s="12" t="n">
        <v>1</v>
      </c>
      <c r="AG160" s="7" t="n">
        <v>101</v>
      </c>
      <c r="AH160" s="7" t="n">
        <v>2713</v>
      </c>
      <c r="AI160" s="5" t="s">
        <v>602</v>
      </c>
    </row>
    <row r="161" customFormat="false" ht="15" hidden="false" customHeight="false" outlineLevel="0" collapsed="false">
      <c r="A161" s="5" t="s">
        <v>208</v>
      </c>
      <c r="B161" s="5" t="s">
        <v>603</v>
      </c>
      <c r="C161" s="5"/>
      <c r="D161" s="5" t="s">
        <v>208</v>
      </c>
      <c r="E161" s="5" t="s">
        <v>52</v>
      </c>
      <c r="F161" s="6" t="n">
        <v>10385.27</v>
      </c>
      <c r="G161" s="7" t="n">
        <v>239</v>
      </c>
      <c r="H161" s="8" t="n">
        <v>2.0534</v>
      </c>
      <c r="I161" s="8" t="n">
        <v>1.8452</v>
      </c>
      <c r="J161" s="7" t="n">
        <v>11</v>
      </c>
      <c r="K161" s="5" t="n">
        <v>9</v>
      </c>
      <c r="L161" s="5" t="n">
        <v>37</v>
      </c>
      <c r="M161" s="5" t="n">
        <v>3.3</v>
      </c>
      <c r="N161" s="9" t="s">
        <v>53</v>
      </c>
      <c r="O161" s="5"/>
      <c r="P161" s="5"/>
      <c r="Q161" s="5"/>
      <c r="R161" s="7"/>
      <c r="S161" s="7"/>
      <c r="T161" s="5"/>
      <c r="U161" s="6"/>
      <c r="V161" s="7"/>
      <c r="W161" s="5"/>
      <c r="X161" s="7"/>
      <c r="Y161" s="7"/>
      <c r="Z161" s="7"/>
      <c r="AA161" s="10"/>
      <c r="AB161" s="11"/>
      <c r="AC161" s="10"/>
      <c r="AD161" s="12"/>
      <c r="AE161" s="12"/>
      <c r="AF161" s="12"/>
      <c r="AG161" s="7"/>
      <c r="AH161" s="7"/>
      <c r="AI161" s="5" t="s">
        <v>604</v>
      </c>
    </row>
    <row r="162" customFormat="false" ht="15" hidden="false" customHeight="false" outlineLevel="0" collapsed="false">
      <c r="A162" s="5" t="s">
        <v>208</v>
      </c>
      <c r="B162" s="5" t="s">
        <v>605</v>
      </c>
      <c r="C162" s="5"/>
      <c r="D162" s="5" t="s">
        <v>208</v>
      </c>
      <c r="E162" s="5" t="s">
        <v>52</v>
      </c>
      <c r="F162" s="6" t="n">
        <v>10205.06</v>
      </c>
      <c r="G162" s="7" t="n">
        <v>980</v>
      </c>
      <c r="H162" s="8" t="n">
        <v>0.7128</v>
      </c>
      <c r="I162" s="8" t="n">
        <v>0.5147</v>
      </c>
      <c r="J162" s="7" t="n">
        <v>26</v>
      </c>
      <c r="K162" s="5" t="n">
        <v>14</v>
      </c>
      <c r="L162" s="5" t="n">
        <v>1178</v>
      </c>
      <c r="M162" s="5" t="n">
        <v>4.2</v>
      </c>
      <c r="N162" s="9" t="s">
        <v>53</v>
      </c>
      <c r="O162" s="5"/>
      <c r="P162" s="5"/>
      <c r="Q162" s="5"/>
      <c r="R162" s="7"/>
      <c r="S162" s="7"/>
      <c r="T162" s="5"/>
      <c r="U162" s="6"/>
      <c r="V162" s="7"/>
      <c r="W162" s="5"/>
      <c r="X162" s="7"/>
      <c r="Y162" s="7"/>
      <c r="Z162" s="7"/>
      <c r="AA162" s="10"/>
      <c r="AB162" s="11"/>
      <c r="AC162" s="10"/>
      <c r="AD162" s="12"/>
      <c r="AE162" s="12"/>
      <c r="AF162" s="12"/>
      <c r="AG162" s="7"/>
      <c r="AH162" s="7"/>
      <c r="AI162" s="5" t="s">
        <v>606</v>
      </c>
    </row>
    <row r="163" customFormat="false" ht="15" hidden="false" customHeight="false" outlineLevel="0" collapsed="false">
      <c r="A163" s="5" t="s">
        <v>208</v>
      </c>
      <c r="B163" s="5" t="s">
        <v>607</v>
      </c>
      <c r="C163" s="5" t="s">
        <v>608</v>
      </c>
      <c r="D163" s="5" t="s">
        <v>208</v>
      </c>
      <c r="E163" s="5" t="s">
        <v>52</v>
      </c>
      <c r="F163" s="6" t="n">
        <v>10176.46</v>
      </c>
      <c r="G163" s="7" t="n">
        <v>184</v>
      </c>
      <c r="H163" s="8" t="n">
        <v>-0.4107</v>
      </c>
      <c r="I163" s="8" t="n">
        <v>-0.4889</v>
      </c>
      <c r="J163" s="7" t="n">
        <v>87</v>
      </c>
      <c r="K163" s="5" t="n">
        <v>6</v>
      </c>
      <c r="L163" s="5" t="n">
        <v>3</v>
      </c>
      <c r="M163" s="5" t="n">
        <v>4.4</v>
      </c>
      <c r="N163" s="9" t="s">
        <v>53</v>
      </c>
      <c r="O163" s="5"/>
      <c r="P163" s="5"/>
      <c r="Q163" s="5"/>
      <c r="R163" s="7"/>
      <c r="S163" s="7"/>
      <c r="T163" s="5"/>
      <c r="U163" s="6"/>
      <c r="V163" s="7"/>
      <c r="W163" s="5"/>
      <c r="X163" s="7"/>
      <c r="Y163" s="7"/>
      <c r="Z163" s="7"/>
      <c r="AA163" s="10"/>
      <c r="AB163" s="11"/>
      <c r="AC163" s="10"/>
      <c r="AD163" s="12"/>
      <c r="AE163" s="12"/>
      <c r="AF163" s="12"/>
      <c r="AG163" s="7"/>
      <c r="AH163" s="7"/>
      <c r="AI163" s="5" t="s">
        <v>609</v>
      </c>
    </row>
    <row r="164" customFormat="false" ht="15" hidden="false" customHeight="false" outlineLevel="0" collapsed="false">
      <c r="A164" s="5" t="s">
        <v>353</v>
      </c>
      <c r="B164" s="5" t="s">
        <v>610</v>
      </c>
      <c r="C164" s="5" t="s">
        <v>611</v>
      </c>
      <c r="D164" s="5" t="s">
        <v>353</v>
      </c>
      <c r="E164" s="5" t="s">
        <v>52</v>
      </c>
      <c r="F164" s="6" t="n">
        <v>29845.81</v>
      </c>
      <c r="G164" s="7" t="n">
        <v>2532</v>
      </c>
      <c r="H164" s="8" t="n">
        <v>-0.4131</v>
      </c>
      <c r="I164" s="8" t="n">
        <v>-0.4261</v>
      </c>
      <c r="J164" s="7" t="n">
        <v>74</v>
      </c>
      <c r="K164" s="5" t="n">
        <v>27</v>
      </c>
      <c r="L164" s="5" t="n">
        <v>28</v>
      </c>
      <c r="M164" s="5" t="n">
        <v>4.7</v>
      </c>
      <c r="N164" s="9" t="s">
        <v>53</v>
      </c>
      <c r="O164" s="5"/>
      <c r="P164" s="5"/>
      <c r="Q164" s="5"/>
      <c r="R164" s="7"/>
      <c r="S164" s="7"/>
      <c r="T164" s="5"/>
      <c r="U164" s="6"/>
      <c r="V164" s="7"/>
      <c r="W164" s="5"/>
      <c r="X164" s="7"/>
      <c r="Y164" s="7"/>
      <c r="Z164" s="7"/>
      <c r="AA164" s="10"/>
      <c r="AB164" s="11"/>
      <c r="AC164" s="10"/>
      <c r="AD164" s="12"/>
      <c r="AE164" s="12"/>
      <c r="AF164" s="12"/>
      <c r="AG164" s="7"/>
      <c r="AH164" s="7"/>
      <c r="AI164" s="5" t="s">
        <v>612</v>
      </c>
    </row>
    <row r="165" customFormat="false" ht="15" hidden="false" customHeight="false" outlineLevel="0" collapsed="false">
      <c r="A165" s="5" t="s">
        <v>353</v>
      </c>
      <c r="B165" s="5" t="s">
        <v>613</v>
      </c>
      <c r="C165" s="5"/>
      <c r="D165" s="5" t="s">
        <v>353</v>
      </c>
      <c r="E165" s="5" t="s">
        <v>59</v>
      </c>
      <c r="F165" s="6" t="n">
        <v>29806.56</v>
      </c>
      <c r="G165" s="7" t="n">
        <v>245</v>
      </c>
      <c r="H165" s="8" t="n">
        <v>0.8914</v>
      </c>
      <c r="I165" s="8" t="n">
        <v>0.8148</v>
      </c>
      <c r="J165" s="7" t="n">
        <v>150</v>
      </c>
      <c r="K165" s="5" t="n">
        <v>10</v>
      </c>
      <c r="L165" s="5" t="n">
        <v>23</v>
      </c>
      <c r="M165" s="5" t="n">
        <v>4.4</v>
      </c>
      <c r="N165" s="9" t="s">
        <v>53</v>
      </c>
      <c r="O165" s="5"/>
      <c r="P165" s="5"/>
      <c r="Q165" s="5"/>
      <c r="R165" s="7"/>
      <c r="S165" s="7"/>
      <c r="T165" s="5"/>
      <c r="U165" s="6"/>
      <c r="V165" s="7"/>
      <c r="W165" s="5"/>
      <c r="X165" s="7"/>
      <c r="Y165" s="7"/>
      <c r="Z165" s="7"/>
      <c r="AA165" s="10"/>
      <c r="AB165" s="11"/>
      <c r="AC165" s="10"/>
      <c r="AD165" s="12"/>
      <c r="AE165" s="12"/>
      <c r="AF165" s="12"/>
      <c r="AG165" s="7"/>
      <c r="AH165" s="7"/>
      <c r="AI165" s="5" t="s">
        <v>614</v>
      </c>
    </row>
    <row r="166" customFormat="false" ht="15" hidden="false" customHeight="false" outlineLevel="0" collapsed="false">
      <c r="A166" s="5" t="s">
        <v>353</v>
      </c>
      <c r="B166" s="5" t="s">
        <v>615</v>
      </c>
      <c r="C166" s="5" t="s">
        <v>615</v>
      </c>
      <c r="D166" s="5" t="s">
        <v>353</v>
      </c>
      <c r="E166" s="5" t="s">
        <v>59</v>
      </c>
      <c r="F166" s="6" t="n">
        <v>29587.84</v>
      </c>
      <c r="G166" s="7" t="n">
        <v>650</v>
      </c>
      <c r="H166" s="8" t="n">
        <v>0.3738</v>
      </c>
      <c r="I166" s="8" t="n">
        <v>-0.0061</v>
      </c>
      <c r="J166" s="7" t="n">
        <v>20</v>
      </c>
      <c r="K166" s="5" t="n">
        <v>21</v>
      </c>
      <c r="L166" s="5" t="n">
        <v>52</v>
      </c>
      <c r="M166" s="5" t="n">
        <v>4.5</v>
      </c>
      <c r="N166" s="9" t="s">
        <v>53</v>
      </c>
      <c r="O166" s="5"/>
      <c r="P166" s="5"/>
      <c r="Q166" s="5"/>
      <c r="R166" s="7"/>
      <c r="S166" s="7"/>
      <c r="T166" s="5"/>
      <c r="U166" s="6"/>
      <c r="V166" s="7"/>
      <c r="W166" s="5"/>
      <c r="X166" s="7"/>
      <c r="Y166" s="7"/>
      <c r="Z166" s="7"/>
      <c r="AA166" s="10"/>
      <c r="AB166" s="11"/>
      <c r="AC166" s="10"/>
      <c r="AD166" s="12"/>
      <c r="AE166" s="12"/>
      <c r="AF166" s="12"/>
      <c r="AG166" s="7"/>
      <c r="AH166" s="7"/>
      <c r="AI166" s="5" t="s">
        <v>616</v>
      </c>
    </row>
    <row r="167" customFormat="false" ht="15" hidden="false" customHeight="false" outlineLevel="0" collapsed="false">
      <c r="A167" s="5" t="s">
        <v>353</v>
      </c>
      <c r="B167" s="5" t="s">
        <v>617</v>
      </c>
      <c r="C167" s="5" t="s">
        <v>618</v>
      </c>
      <c r="D167" s="5" t="s">
        <v>421</v>
      </c>
      <c r="E167" s="5" t="s">
        <v>59</v>
      </c>
      <c r="F167" s="6" t="n">
        <v>29520.04</v>
      </c>
      <c r="G167" s="7" t="n">
        <v>951</v>
      </c>
      <c r="H167" s="8" t="n">
        <v>1.2235</v>
      </c>
      <c r="I167" s="8" t="n">
        <v>0.843</v>
      </c>
      <c r="J167" s="7" t="n">
        <v>226</v>
      </c>
      <c r="K167" s="5" t="n">
        <v>13</v>
      </c>
      <c r="L167" s="5" t="n">
        <v>4984</v>
      </c>
      <c r="M167" s="5" t="n">
        <v>4.2</v>
      </c>
      <c r="N167" s="13" t="s">
        <v>60</v>
      </c>
      <c r="O167" s="5"/>
      <c r="P167" s="5"/>
      <c r="Q167" s="5"/>
      <c r="R167" s="7"/>
      <c r="S167" s="7"/>
      <c r="T167" s="5"/>
      <c r="U167" s="6"/>
      <c r="V167" s="7"/>
      <c r="W167" s="5"/>
      <c r="X167" s="7"/>
      <c r="Y167" s="7"/>
      <c r="Z167" s="7"/>
      <c r="AA167" s="10"/>
      <c r="AB167" s="11"/>
      <c r="AC167" s="10"/>
      <c r="AD167" s="12"/>
      <c r="AE167" s="12"/>
      <c r="AF167" s="12"/>
      <c r="AG167" s="7"/>
      <c r="AH167" s="7"/>
      <c r="AI167" s="5" t="s">
        <v>619</v>
      </c>
    </row>
    <row r="168" customFormat="false" ht="15" hidden="false" customHeight="false" outlineLevel="0" collapsed="false">
      <c r="A168" s="5" t="s">
        <v>353</v>
      </c>
      <c r="B168" s="5" t="s">
        <v>620</v>
      </c>
      <c r="C168" s="5" t="s">
        <v>621</v>
      </c>
      <c r="D168" s="5" t="s">
        <v>353</v>
      </c>
      <c r="E168" s="5" t="s">
        <v>59</v>
      </c>
      <c r="F168" s="6" t="n">
        <v>29069.44</v>
      </c>
      <c r="G168" s="7" t="n">
        <v>661</v>
      </c>
      <c r="H168" s="8" t="n">
        <v>3.3244</v>
      </c>
      <c r="I168" s="8" t="n">
        <v>3.8963</v>
      </c>
      <c r="J168" s="7" t="n">
        <v>113</v>
      </c>
      <c r="K168" s="5" t="n">
        <v>15</v>
      </c>
      <c r="L168" s="5" t="n">
        <v>1505</v>
      </c>
      <c r="M168" s="5" t="n">
        <v>4.1</v>
      </c>
      <c r="N168" s="9" t="s">
        <v>53</v>
      </c>
      <c r="O168" s="5"/>
      <c r="P168" s="5"/>
      <c r="Q168" s="5"/>
      <c r="R168" s="7"/>
      <c r="S168" s="7"/>
      <c r="T168" s="5"/>
      <c r="U168" s="6"/>
      <c r="V168" s="7"/>
      <c r="W168" s="5"/>
      <c r="X168" s="7"/>
      <c r="Y168" s="7"/>
      <c r="Z168" s="7"/>
      <c r="AA168" s="10"/>
      <c r="AB168" s="11"/>
      <c r="AC168" s="10"/>
      <c r="AD168" s="12"/>
      <c r="AE168" s="12"/>
      <c r="AF168" s="12"/>
      <c r="AG168" s="7"/>
      <c r="AH168" s="7"/>
      <c r="AI168" s="5" t="s">
        <v>622</v>
      </c>
    </row>
    <row r="169" customFormat="false" ht="15" hidden="false" customHeight="false" outlineLevel="0" collapsed="false">
      <c r="A169" s="5" t="s">
        <v>353</v>
      </c>
      <c r="B169" s="5" t="s">
        <v>623</v>
      </c>
      <c r="C169" s="5" t="s">
        <v>624</v>
      </c>
      <c r="D169" s="5" t="s">
        <v>353</v>
      </c>
      <c r="E169" s="5" t="s">
        <v>59</v>
      </c>
      <c r="F169" s="6" t="n">
        <v>28934.16</v>
      </c>
      <c r="G169" s="7" t="n">
        <v>1471</v>
      </c>
      <c r="H169" s="8" t="n">
        <v>-0.4423</v>
      </c>
      <c r="I169" s="8" t="n">
        <v>-0.7498</v>
      </c>
      <c r="J169" s="7" t="n">
        <v>278</v>
      </c>
      <c r="K169" s="5" t="n">
        <v>6</v>
      </c>
      <c r="L169" s="5" t="n">
        <v>15</v>
      </c>
      <c r="M169" s="5" t="n">
        <v>4.4</v>
      </c>
      <c r="N169" s="9" t="s">
        <v>53</v>
      </c>
      <c r="O169" s="5"/>
      <c r="P169" s="5" t="s">
        <v>625</v>
      </c>
      <c r="Q169" s="14" t="s">
        <v>626</v>
      </c>
      <c r="R169" s="7" t="n">
        <v>34967</v>
      </c>
      <c r="S169" s="7" t="n">
        <v>1080</v>
      </c>
      <c r="T169" s="5" t="s">
        <v>627</v>
      </c>
      <c r="U169" s="6" t="n">
        <v>677940.25</v>
      </c>
      <c r="V169" s="7" t="n">
        <v>26586</v>
      </c>
      <c r="W169" s="5" t="n">
        <v>142</v>
      </c>
      <c r="X169" s="7" t="n">
        <v>711</v>
      </c>
      <c r="Y169" s="7" t="n">
        <v>7418</v>
      </c>
      <c r="Z169" s="7" t="n">
        <v>30</v>
      </c>
      <c r="AA169" s="10" t="n">
        <v>6</v>
      </c>
      <c r="AB169" s="11" t="n">
        <v>250</v>
      </c>
      <c r="AC169" s="10" t="n">
        <v>61.99</v>
      </c>
      <c r="AD169" s="12" t="n">
        <v>0.89</v>
      </c>
      <c r="AE169" s="12" t="n">
        <v>0.94</v>
      </c>
      <c r="AF169" s="12" t="n">
        <v>0.96</v>
      </c>
      <c r="AG169" s="7" t="n">
        <v>65</v>
      </c>
      <c r="AH169" s="7" t="n">
        <v>1119</v>
      </c>
      <c r="AI169" s="5" t="s">
        <v>628</v>
      </c>
    </row>
    <row r="170" customFormat="false" ht="15" hidden="false" customHeight="false" outlineLevel="0" collapsed="false">
      <c r="A170" s="5" t="s">
        <v>353</v>
      </c>
      <c r="B170" s="5" t="s">
        <v>629</v>
      </c>
      <c r="C170" s="5" t="s">
        <v>629</v>
      </c>
      <c r="D170" s="5" t="s">
        <v>353</v>
      </c>
      <c r="E170" s="5" t="s">
        <v>59</v>
      </c>
      <c r="F170" s="6" t="n">
        <v>28768.67</v>
      </c>
      <c r="G170" s="7" t="n">
        <v>426</v>
      </c>
      <c r="H170" s="8" t="n">
        <v>-0.0132</v>
      </c>
      <c r="I170" s="8" t="n">
        <v>-0.0897</v>
      </c>
      <c r="J170" s="7" t="n">
        <v>233</v>
      </c>
      <c r="K170" s="5" t="n">
        <v>21</v>
      </c>
      <c r="L170" s="5" t="n">
        <v>37</v>
      </c>
      <c r="M170" s="5" t="n">
        <v>3.9</v>
      </c>
      <c r="N170" s="9" t="s">
        <v>53</v>
      </c>
      <c r="O170" s="5"/>
      <c r="P170" s="5" t="s">
        <v>630</v>
      </c>
      <c r="Q170" s="14" t="s">
        <v>631</v>
      </c>
      <c r="R170" s="7" t="n">
        <v>2468</v>
      </c>
      <c r="S170" s="7" t="n">
        <v>181</v>
      </c>
      <c r="T170" s="5" t="s">
        <v>632</v>
      </c>
      <c r="U170" s="6" t="n">
        <v>1182150.69</v>
      </c>
      <c r="V170" s="7" t="n">
        <v>19171</v>
      </c>
      <c r="W170" s="5" t="n">
        <v>90</v>
      </c>
      <c r="X170" s="7" t="n">
        <v>1598</v>
      </c>
      <c r="Y170" s="7" t="n">
        <v>3520</v>
      </c>
      <c r="Z170" s="7" t="n">
        <v>3418</v>
      </c>
      <c r="AA170" s="10" t="n">
        <v>1.05</v>
      </c>
      <c r="AB170" s="11" t="n">
        <v>259.99</v>
      </c>
      <c r="AC170" s="10" t="n">
        <v>67.79</v>
      </c>
      <c r="AD170" s="12" t="n">
        <v>0.8</v>
      </c>
      <c r="AE170" s="12" t="n">
        <v>0.87</v>
      </c>
      <c r="AF170" s="12" t="n">
        <v>1</v>
      </c>
      <c r="AG170" s="7" t="n">
        <v>89</v>
      </c>
      <c r="AH170" s="7" t="n">
        <v>1623</v>
      </c>
      <c r="AI170" s="5" t="s">
        <v>633</v>
      </c>
    </row>
    <row r="171" customFormat="false" ht="15" hidden="false" customHeight="false" outlineLevel="0" collapsed="false">
      <c r="A171" s="5" t="s">
        <v>353</v>
      </c>
      <c r="B171" s="5" t="s">
        <v>634</v>
      </c>
      <c r="C171" s="5" t="s">
        <v>635</v>
      </c>
      <c r="D171" s="5" t="s">
        <v>353</v>
      </c>
      <c r="E171" s="5" t="s">
        <v>52</v>
      </c>
      <c r="F171" s="6" t="n">
        <v>28029.44</v>
      </c>
      <c r="G171" s="7" t="n">
        <v>351</v>
      </c>
      <c r="H171" s="8" t="n">
        <v>-0.3612</v>
      </c>
      <c r="I171" s="8" t="n">
        <v>-0.4674</v>
      </c>
      <c r="J171" s="7" t="n">
        <v>223</v>
      </c>
      <c r="K171" s="5" t="n">
        <v>7</v>
      </c>
      <c r="L171" s="5" t="n">
        <v>11</v>
      </c>
      <c r="M171" s="5" t="n">
        <v>4.7</v>
      </c>
      <c r="N171" s="9" t="s">
        <v>53</v>
      </c>
      <c r="O171" s="5"/>
      <c r="P171" s="5"/>
      <c r="Q171" s="5"/>
      <c r="R171" s="7"/>
      <c r="S171" s="7"/>
      <c r="T171" s="5"/>
      <c r="U171" s="6"/>
      <c r="V171" s="7"/>
      <c r="W171" s="5"/>
      <c r="X171" s="7"/>
      <c r="Y171" s="7"/>
      <c r="Z171" s="7"/>
      <c r="AA171" s="10"/>
      <c r="AB171" s="11"/>
      <c r="AC171" s="10"/>
      <c r="AD171" s="12"/>
      <c r="AE171" s="12"/>
      <c r="AF171" s="12"/>
      <c r="AG171" s="7"/>
      <c r="AH171" s="7"/>
      <c r="AI171" s="5" t="s">
        <v>636</v>
      </c>
    </row>
    <row r="172" customFormat="false" ht="15" hidden="false" customHeight="false" outlineLevel="0" collapsed="false">
      <c r="A172" s="5" t="s">
        <v>404</v>
      </c>
      <c r="B172" s="5" t="s">
        <v>637</v>
      </c>
      <c r="C172" s="5" t="s">
        <v>638</v>
      </c>
      <c r="D172" s="5" t="s">
        <v>404</v>
      </c>
      <c r="E172" s="5" t="s">
        <v>59</v>
      </c>
      <c r="F172" s="6" t="n">
        <v>20483.66</v>
      </c>
      <c r="G172" s="7" t="n">
        <v>2280</v>
      </c>
      <c r="H172" s="8" t="n">
        <v>0.8848</v>
      </c>
      <c r="I172" s="8" t="n">
        <v>0.6297</v>
      </c>
      <c r="J172" s="7" t="n">
        <v>88</v>
      </c>
      <c r="K172" s="5" t="n">
        <v>23</v>
      </c>
      <c r="L172" s="5" t="n">
        <v>52</v>
      </c>
      <c r="M172" s="5" t="n">
        <v>4.1</v>
      </c>
      <c r="N172" s="9" t="s">
        <v>53</v>
      </c>
      <c r="O172" s="5"/>
      <c r="P172" s="5"/>
      <c r="Q172" s="5"/>
      <c r="R172" s="7"/>
      <c r="S172" s="7"/>
      <c r="T172" s="5"/>
      <c r="U172" s="6"/>
      <c r="V172" s="7"/>
      <c r="W172" s="5"/>
      <c r="X172" s="7"/>
      <c r="Y172" s="7"/>
      <c r="Z172" s="7"/>
      <c r="AA172" s="10"/>
      <c r="AB172" s="11"/>
      <c r="AC172" s="10"/>
      <c r="AD172" s="12"/>
      <c r="AE172" s="12"/>
      <c r="AF172" s="12"/>
      <c r="AG172" s="7"/>
      <c r="AH172" s="7"/>
      <c r="AI172" s="5" t="s">
        <v>639</v>
      </c>
    </row>
    <row r="173" customFormat="false" ht="15" hidden="false" customHeight="false" outlineLevel="0" collapsed="false">
      <c r="A173" s="5" t="s">
        <v>404</v>
      </c>
      <c r="B173" s="5" t="s">
        <v>640</v>
      </c>
      <c r="C173" s="5"/>
      <c r="D173" s="5" t="s">
        <v>404</v>
      </c>
      <c r="E173" s="5" t="s">
        <v>52</v>
      </c>
      <c r="F173" s="6" t="n">
        <v>20215.32</v>
      </c>
      <c r="G173" s="7" t="n">
        <v>1245</v>
      </c>
      <c r="H173" s="8" t="n">
        <v>0.1302</v>
      </c>
      <c r="I173" s="8" t="n">
        <v>0.1657</v>
      </c>
      <c r="J173" s="7" t="n">
        <v>341</v>
      </c>
      <c r="K173" s="5" t="n">
        <v>33</v>
      </c>
      <c r="L173" s="5" t="n">
        <v>170</v>
      </c>
      <c r="M173" s="5" t="n">
        <v>3.9</v>
      </c>
      <c r="N173" s="9" t="s">
        <v>53</v>
      </c>
      <c r="O173" s="5"/>
      <c r="P173" s="5"/>
      <c r="Q173" s="5"/>
      <c r="R173" s="7"/>
      <c r="S173" s="7"/>
      <c r="T173" s="5"/>
      <c r="U173" s="6"/>
      <c r="V173" s="7"/>
      <c r="W173" s="5"/>
      <c r="X173" s="7"/>
      <c r="Y173" s="7"/>
      <c r="Z173" s="7"/>
      <c r="AA173" s="10"/>
      <c r="AB173" s="11"/>
      <c r="AC173" s="10"/>
      <c r="AD173" s="12"/>
      <c r="AE173" s="12"/>
      <c r="AF173" s="12"/>
      <c r="AG173" s="7"/>
      <c r="AH173" s="7"/>
      <c r="AI173" s="5" t="s">
        <v>641</v>
      </c>
    </row>
    <row r="174" customFormat="false" ht="15" hidden="false" customHeight="false" outlineLevel="0" collapsed="false">
      <c r="A174" s="5" t="s">
        <v>404</v>
      </c>
      <c r="B174" s="5" t="s">
        <v>642</v>
      </c>
      <c r="C174" s="5"/>
      <c r="D174" s="5" t="s">
        <v>404</v>
      </c>
      <c r="E174" s="5" t="s">
        <v>59</v>
      </c>
      <c r="F174" s="6" t="n">
        <v>19909.86</v>
      </c>
      <c r="G174" s="7" t="n">
        <v>1137</v>
      </c>
      <c r="H174" s="8" t="n">
        <v>20.0024</v>
      </c>
      <c r="I174" s="8" t="n">
        <v>19.6727</v>
      </c>
      <c r="J174" s="7" t="n">
        <v>121</v>
      </c>
      <c r="K174" s="5" t="n">
        <v>3</v>
      </c>
      <c r="L174" s="5" t="n">
        <v>12</v>
      </c>
      <c r="M174" s="5" t="n">
        <v>3.9</v>
      </c>
      <c r="N174" s="9" t="s">
        <v>53</v>
      </c>
      <c r="O174" s="5"/>
      <c r="P174" s="5"/>
      <c r="Q174" s="5"/>
      <c r="R174" s="7"/>
      <c r="S174" s="7"/>
      <c r="T174" s="5"/>
      <c r="U174" s="6"/>
      <c r="V174" s="7"/>
      <c r="W174" s="5"/>
      <c r="X174" s="7"/>
      <c r="Y174" s="7"/>
      <c r="Z174" s="7"/>
      <c r="AA174" s="10"/>
      <c r="AB174" s="11"/>
      <c r="AC174" s="10"/>
      <c r="AD174" s="12"/>
      <c r="AE174" s="12"/>
      <c r="AF174" s="12"/>
      <c r="AG174" s="7"/>
      <c r="AH174" s="7"/>
      <c r="AI174" s="5" t="s">
        <v>643</v>
      </c>
    </row>
    <row r="175" customFormat="false" ht="15" hidden="false" customHeight="false" outlineLevel="0" collapsed="false">
      <c r="A175" s="5" t="s">
        <v>404</v>
      </c>
      <c r="B175" s="5" t="s">
        <v>644</v>
      </c>
      <c r="C175" s="5"/>
      <c r="D175" s="5" t="s">
        <v>404</v>
      </c>
      <c r="E175" s="5" t="s">
        <v>52</v>
      </c>
      <c r="F175" s="6" t="n">
        <v>19575.78</v>
      </c>
      <c r="G175" s="7" t="n">
        <v>1033</v>
      </c>
      <c r="H175" s="8" t="n">
        <v>0.9533</v>
      </c>
      <c r="I175" s="8" t="n">
        <v>0.8446</v>
      </c>
      <c r="J175" s="7" t="n">
        <v>311</v>
      </c>
      <c r="K175" s="5" t="n">
        <v>11</v>
      </c>
      <c r="L175" s="5" t="n">
        <v>40</v>
      </c>
      <c r="M175" s="5" t="n">
        <v>4.4</v>
      </c>
      <c r="N175" s="9" t="s">
        <v>53</v>
      </c>
      <c r="O175" s="5"/>
      <c r="P175" s="5"/>
      <c r="Q175" s="5"/>
      <c r="R175" s="7"/>
      <c r="S175" s="7"/>
      <c r="T175" s="5"/>
      <c r="U175" s="6"/>
      <c r="V175" s="7"/>
      <c r="W175" s="5"/>
      <c r="X175" s="7"/>
      <c r="Y175" s="7"/>
      <c r="Z175" s="7"/>
      <c r="AA175" s="10"/>
      <c r="AB175" s="11"/>
      <c r="AC175" s="10"/>
      <c r="AD175" s="12"/>
      <c r="AE175" s="12"/>
      <c r="AF175" s="12"/>
      <c r="AG175" s="7"/>
      <c r="AH175" s="7"/>
      <c r="AI175" s="5" t="s">
        <v>645</v>
      </c>
    </row>
    <row r="176" customFormat="false" ht="15" hidden="false" customHeight="false" outlineLevel="0" collapsed="false">
      <c r="A176" s="5" t="s">
        <v>404</v>
      </c>
      <c r="B176" s="5" t="s">
        <v>646</v>
      </c>
      <c r="C176" s="5" t="s">
        <v>647</v>
      </c>
      <c r="D176" s="5" t="s">
        <v>404</v>
      </c>
      <c r="E176" s="5" t="s">
        <v>59</v>
      </c>
      <c r="F176" s="6" t="n">
        <v>19549.6</v>
      </c>
      <c r="G176" s="7" t="n">
        <v>830</v>
      </c>
      <c r="H176" s="8" t="n">
        <v>6.2304</v>
      </c>
      <c r="I176" s="8" t="n">
        <v>4.2866</v>
      </c>
      <c r="J176" s="7" t="n">
        <v>0</v>
      </c>
      <c r="K176" s="5" t="n">
        <v>11</v>
      </c>
      <c r="L176" s="5" t="n">
        <v>31</v>
      </c>
      <c r="M176" s="5" t="n">
        <v>4.4</v>
      </c>
      <c r="N176" s="9" t="s">
        <v>53</v>
      </c>
      <c r="O176" s="5"/>
      <c r="P176" s="5"/>
      <c r="Q176" s="5"/>
      <c r="R176" s="7"/>
      <c r="S176" s="7"/>
      <c r="T176" s="5"/>
      <c r="U176" s="6"/>
      <c r="V176" s="7"/>
      <c r="W176" s="5"/>
      <c r="X176" s="7"/>
      <c r="Y176" s="7"/>
      <c r="Z176" s="7"/>
      <c r="AA176" s="10"/>
      <c r="AB176" s="11"/>
      <c r="AC176" s="10"/>
      <c r="AD176" s="12"/>
      <c r="AE176" s="12"/>
      <c r="AF176" s="12"/>
      <c r="AG176" s="7"/>
      <c r="AH176" s="7"/>
      <c r="AI176" s="5" t="s">
        <v>648</v>
      </c>
    </row>
    <row r="177" customFormat="false" ht="15" hidden="false" customHeight="false" outlineLevel="0" collapsed="false">
      <c r="A177" s="5" t="s">
        <v>404</v>
      </c>
      <c r="B177" s="5" t="s">
        <v>649</v>
      </c>
      <c r="C177" s="5" t="s">
        <v>650</v>
      </c>
      <c r="D177" s="5" t="s">
        <v>404</v>
      </c>
      <c r="E177" s="5" t="s">
        <v>59</v>
      </c>
      <c r="F177" s="6" t="n">
        <v>19333.65</v>
      </c>
      <c r="G177" s="7" t="n">
        <v>1083</v>
      </c>
      <c r="H177" s="8" t="n">
        <v>0.9221</v>
      </c>
      <c r="I177" s="8" t="n">
        <v>0.4479</v>
      </c>
      <c r="J177" s="7" t="n">
        <v>696</v>
      </c>
      <c r="K177" s="5" t="n">
        <v>35</v>
      </c>
      <c r="L177" s="5" t="n">
        <v>61</v>
      </c>
      <c r="M177" s="5" t="n">
        <v>3.9</v>
      </c>
      <c r="N177" s="9" t="s">
        <v>53</v>
      </c>
      <c r="O177" s="5"/>
      <c r="P177" s="5" t="s">
        <v>651</v>
      </c>
      <c r="Q177" s="14" t="s">
        <v>652</v>
      </c>
      <c r="R177" s="7" t="n">
        <v>1640</v>
      </c>
      <c r="S177" s="7" t="n">
        <v>420</v>
      </c>
      <c r="T177" s="5" t="s">
        <v>653</v>
      </c>
      <c r="U177" s="6" t="n">
        <v>143741.5</v>
      </c>
      <c r="V177" s="7" t="n">
        <v>13475</v>
      </c>
      <c r="W177" s="5" t="n">
        <v>79</v>
      </c>
      <c r="X177" s="7" t="n">
        <v>393</v>
      </c>
      <c r="Y177" s="7" t="n">
        <v>1685</v>
      </c>
      <c r="Z177" s="7" t="n">
        <v>686</v>
      </c>
      <c r="AA177" s="10" t="n">
        <v>6.29</v>
      </c>
      <c r="AB177" s="11" t="n">
        <v>67.77</v>
      </c>
      <c r="AC177" s="10" t="n">
        <v>12.43</v>
      </c>
      <c r="AD177" s="12" t="n">
        <v>0.81</v>
      </c>
      <c r="AE177" s="12" t="n">
        <v>0.92</v>
      </c>
      <c r="AF177" s="12" t="n">
        <v>1</v>
      </c>
      <c r="AG177" s="7" t="n">
        <v>70</v>
      </c>
      <c r="AH177" s="7" t="n">
        <v>2280</v>
      </c>
      <c r="AI177" s="5" t="s">
        <v>654</v>
      </c>
    </row>
    <row r="178" customFormat="false" ht="15" hidden="false" customHeight="false" outlineLevel="0" collapsed="false">
      <c r="A178" s="5" t="s">
        <v>404</v>
      </c>
      <c r="B178" s="5" t="s">
        <v>655</v>
      </c>
      <c r="C178" s="5" t="s">
        <v>655</v>
      </c>
      <c r="D178" s="5" t="s">
        <v>404</v>
      </c>
      <c r="E178" s="5" t="s">
        <v>59</v>
      </c>
      <c r="F178" s="6" t="n">
        <v>19311.88</v>
      </c>
      <c r="G178" s="7" t="n">
        <v>2806</v>
      </c>
      <c r="H178" s="8" t="n">
        <v>0.6591</v>
      </c>
      <c r="I178" s="8" t="n">
        <v>0.2296</v>
      </c>
      <c r="J178" s="7" t="n">
        <v>33</v>
      </c>
      <c r="K178" s="5" t="n">
        <v>14</v>
      </c>
      <c r="L178" s="5" t="n">
        <v>21</v>
      </c>
      <c r="M178" s="5" t="n">
        <v>4.7</v>
      </c>
      <c r="N178" s="9" t="s">
        <v>53</v>
      </c>
      <c r="O178" s="5"/>
      <c r="P178" s="5"/>
      <c r="Q178" s="5"/>
      <c r="R178" s="7"/>
      <c r="S178" s="7"/>
      <c r="T178" s="5"/>
      <c r="U178" s="6"/>
      <c r="V178" s="7"/>
      <c r="W178" s="5"/>
      <c r="X178" s="7"/>
      <c r="Y178" s="7"/>
      <c r="Z178" s="7"/>
      <c r="AA178" s="10"/>
      <c r="AB178" s="11"/>
      <c r="AC178" s="10"/>
      <c r="AD178" s="12"/>
      <c r="AE178" s="12"/>
      <c r="AF178" s="12"/>
      <c r="AG178" s="7"/>
      <c r="AH178" s="7"/>
      <c r="AI178" s="5" t="s">
        <v>656</v>
      </c>
    </row>
    <row r="179" customFormat="false" ht="15" hidden="false" customHeight="false" outlineLevel="0" collapsed="false">
      <c r="A179" s="5" t="s">
        <v>404</v>
      </c>
      <c r="B179" s="5" t="s">
        <v>657</v>
      </c>
      <c r="C179" s="5" t="s">
        <v>658</v>
      </c>
      <c r="D179" s="5" t="s">
        <v>404</v>
      </c>
      <c r="E179" s="5" t="s">
        <v>59</v>
      </c>
      <c r="F179" s="6" t="n">
        <v>19103.69</v>
      </c>
      <c r="G179" s="7" t="n">
        <v>2207</v>
      </c>
      <c r="H179" s="8" t="n">
        <v>0.9832</v>
      </c>
      <c r="I179" s="8" t="n">
        <v>0.6519</v>
      </c>
      <c r="J179" s="7" t="n">
        <v>537</v>
      </c>
      <c r="K179" s="5" t="n">
        <v>30</v>
      </c>
      <c r="L179" s="5" t="n">
        <v>70</v>
      </c>
      <c r="M179" s="5" t="n">
        <v>4.3</v>
      </c>
      <c r="N179" s="9" t="s">
        <v>53</v>
      </c>
      <c r="O179" s="5"/>
      <c r="P179" s="5" t="s">
        <v>659</v>
      </c>
      <c r="Q179" s="14" t="s">
        <v>660</v>
      </c>
      <c r="R179" s="7" t="n">
        <v>8393</v>
      </c>
      <c r="S179" s="7" t="n">
        <v>1054</v>
      </c>
      <c r="T179" s="5" t="s">
        <v>661</v>
      </c>
      <c r="U179" s="6" t="n">
        <v>286096.76</v>
      </c>
      <c r="V179" s="7" t="n">
        <v>35176</v>
      </c>
      <c r="W179" s="5" t="n">
        <v>88</v>
      </c>
      <c r="X179" s="7" t="n">
        <v>1296</v>
      </c>
      <c r="Y179" s="7" t="n">
        <v>3138</v>
      </c>
      <c r="Z179" s="7" t="n">
        <v>1905</v>
      </c>
      <c r="AA179" s="10" t="n">
        <v>2.4</v>
      </c>
      <c r="AB179" s="11" t="n">
        <v>165.99</v>
      </c>
      <c r="AC179" s="10" t="n">
        <v>10.44</v>
      </c>
      <c r="AD179" s="12" t="n">
        <v>0.79</v>
      </c>
      <c r="AE179" s="12" t="n">
        <v>0.89</v>
      </c>
      <c r="AF179" s="12" t="n">
        <v>0.98</v>
      </c>
      <c r="AG179" s="7" t="n">
        <v>73</v>
      </c>
      <c r="AH179" s="7" t="n">
        <v>2313</v>
      </c>
      <c r="AI179" s="5" t="s">
        <v>662</v>
      </c>
    </row>
    <row r="180" customFormat="false" ht="15" hidden="false" customHeight="false" outlineLevel="0" collapsed="false">
      <c r="A180" s="5" t="s">
        <v>404</v>
      </c>
      <c r="B180" s="5" t="s">
        <v>663</v>
      </c>
      <c r="C180" s="5"/>
      <c r="D180" s="5" t="s">
        <v>404</v>
      </c>
      <c r="E180" s="5" t="s">
        <v>52</v>
      </c>
      <c r="F180" s="6" t="n">
        <v>18697.29</v>
      </c>
      <c r="G180" s="7" t="n">
        <v>2432</v>
      </c>
      <c r="H180" s="8" t="n">
        <v>0.3047</v>
      </c>
      <c r="I180" s="8" t="n">
        <v>0.3564</v>
      </c>
      <c r="J180" s="7" t="n">
        <v>149</v>
      </c>
      <c r="K180" s="5" t="n">
        <v>23</v>
      </c>
      <c r="L180" s="5" t="n">
        <v>250</v>
      </c>
      <c r="M180" s="5" t="n">
        <v>4.7</v>
      </c>
      <c r="N180" s="9" t="s">
        <v>53</v>
      </c>
      <c r="O180" s="5"/>
      <c r="P180" s="5"/>
      <c r="Q180" s="5"/>
      <c r="R180" s="7"/>
      <c r="S180" s="7"/>
      <c r="T180" s="5"/>
      <c r="U180" s="6"/>
      <c r="V180" s="7"/>
      <c r="W180" s="5"/>
      <c r="X180" s="7"/>
      <c r="Y180" s="7"/>
      <c r="Z180" s="7"/>
      <c r="AA180" s="10"/>
      <c r="AB180" s="11"/>
      <c r="AC180" s="10"/>
      <c r="AD180" s="12"/>
      <c r="AE180" s="12"/>
      <c r="AF180" s="12"/>
      <c r="AG180" s="7"/>
      <c r="AH180" s="7"/>
      <c r="AI180" s="5" t="s">
        <v>664</v>
      </c>
    </row>
    <row r="181" customFormat="false" ht="15" hidden="false" customHeight="false" outlineLevel="0" collapsed="false">
      <c r="A181" s="5" t="s">
        <v>404</v>
      </c>
      <c r="B181" s="5" t="s">
        <v>665</v>
      </c>
      <c r="C181" s="5"/>
      <c r="D181" s="5" t="s">
        <v>404</v>
      </c>
      <c r="E181" s="5" t="s">
        <v>52</v>
      </c>
      <c r="F181" s="6" t="n">
        <v>18217.99</v>
      </c>
      <c r="G181" s="7" t="n">
        <v>2396</v>
      </c>
      <c r="H181" s="8" t="n">
        <v>-0.2706</v>
      </c>
      <c r="I181" s="8" t="n">
        <v>-0.3164</v>
      </c>
      <c r="J181" s="7" t="n">
        <v>1342</v>
      </c>
      <c r="K181" s="5" t="n">
        <v>69</v>
      </c>
      <c r="L181" s="5" t="n">
        <v>213</v>
      </c>
      <c r="M181" s="5" t="n">
        <v>4.7</v>
      </c>
      <c r="N181" s="9" t="s">
        <v>53</v>
      </c>
      <c r="O181" s="5"/>
      <c r="P181" s="5"/>
      <c r="Q181" s="5"/>
      <c r="R181" s="7"/>
      <c r="S181" s="7"/>
      <c r="T181" s="5"/>
      <c r="U181" s="6"/>
      <c r="V181" s="7"/>
      <c r="W181" s="5"/>
      <c r="X181" s="7"/>
      <c r="Y181" s="7"/>
      <c r="Z181" s="7"/>
      <c r="AA181" s="10"/>
      <c r="AB181" s="11"/>
      <c r="AC181" s="10"/>
      <c r="AD181" s="12"/>
      <c r="AE181" s="12"/>
      <c r="AF181" s="12"/>
      <c r="AG181" s="7"/>
      <c r="AH181" s="7"/>
      <c r="AI181" s="5" t="s">
        <v>666</v>
      </c>
    </row>
    <row r="182" customFormat="false" ht="15" hidden="false" customHeight="false" outlineLevel="0" collapsed="false">
      <c r="A182" s="5" t="s">
        <v>667</v>
      </c>
      <c r="B182" s="5" t="s">
        <v>668</v>
      </c>
      <c r="C182" s="5" t="s">
        <v>669</v>
      </c>
      <c r="D182" s="5" t="s">
        <v>149</v>
      </c>
      <c r="E182" s="5" t="s">
        <v>59</v>
      </c>
      <c r="F182" s="6" t="n">
        <v>29288.23</v>
      </c>
      <c r="G182" s="7" t="n">
        <v>163</v>
      </c>
      <c r="H182" s="8" t="n">
        <v>-0.4211</v>
      </c>
      <c r="I182" s="8" t="n">
        <v>-0.3755</v>
      </c>
      <c r="J182" s="7" t="n">
        <v>57</v>
      </c>
      <c r="K182" s="5" t="n">
        <v>11</v>
      </c>
      <c r="L182" s="5" t="n">
        <v>66</v>
      </c>
      <c r="M182" s="5" t="n">
        <v>4.3</v>
      </c>
      <c r="N182" s="13" t="s">
        <v>60</v>
      </c>
      <c r="O182" s="5"/>
      <c r="P182" s="5"/>
      <c r="Q182" s="5"/>
      <c r="R182" s="7"/>
      <c r="S182" s="7"/>
      <c r="T182" s="5"/>
      <c r="U182" s="6"/>
      <c r="V182" s="7"/>
      <c r="W182" s="5"/>
      <c r="X182" s="7"/>
      <c r="Y182" s="7"/>
      <c r="Z182" s="7"/>
      <c r="AA182" s="10"/>
      <c r="AB182" s="11"/>
      <c r="AC182" s="10"/>
      <c r="AD182" s="12"/>
      <c r="AE182" s="12"/>
      <c r="AF182" s="12"/>
      <c r="AG182" s="7"/>
      <c r="AH182" s="7"/>
      <c r="AI182" s="5" t="s">
        <v>670</v>
      </c>
    </row>
    <row r="183" customFormat="false" ht="15" hidden="false" customHeight="false" outlineLevel="0" collapsed="false">
      <c r="A183" s="5" t="s">
        <v>667</v>
      </c>
      <c r="B183" s="5" t="s">
        <v>671</v>
      </c>
      <c r="C183" s="5"/>
      <c r="D183" s="5" t="s">
        <v>667</v>
      </c>
      <c r="E183" s="5" t="s">
        <v>59</v>
      </c>
      <c r="F183" s="6" t="n">
        <v>28420.43</v>
      </c>
      <c r="G183" s="7" t="n">
        <v>2830</v>
      </c>
      <c r="H183" s="8" t="n">
        <v>-0.4461</v>
      </c>
      <c r="I183" s="8" t="n">
        <v>-0.4033</v>
      </c>
      <c r="J183" s="7" t="n">
        <v>375</v>
      </c>
      <c r="K183" s="5" t="n">
        <v>2</v>
      </c>
      <c r="L183" s="5" t="n">
        <v>8</v>
      </c>
      <c r="M183" s="5" t="n">
        <v>4.7</v>
      </c>
      <c r="N183" s="9" t="s">
        <v>53</v>
      </c>
      <c r="O183" s="5" t="s">
        <v>136</v>
      </c>
      <c r="P183" s="5"/>
      <c r="Q183" s="5"/>
      <c r="R183" s="7"/>
      <c r="S183" s="7"/>
      <c r="T183" s="5" t="s">
        <v>672</v>
      </c>
      <c r="U183" s="6" t="n">
        <v>192801.28</v>
      </c>
      <c r="V183" s="7" t="n">
        <v>14451</v>
      </c>
      <c r="W183" s="5" t="n">
        <v>10</v>
      </c>
      <c r="X183" s="7" t="n">
        <v>1508</v>
      </c>
      <c r="Y183" s="7" t="n">
        <v>2620</v>
      </c>
      <c r="Z183" s="7" t="n">
        <v>249</v>
      </c>
      <c r="AA183" s="10" t="n">
        <v>6.99</v>
      </c>
      <c r="AB183" s="11" t="n">
        <v>29.99</v>
      </c>
      <c r="AC183" s="10"/>
      <c r="AD183" s="12"/>
      <c r="AE183" s="12"/>
      <c r="AF183" s="12"/>
      <c r="AG183" s="7" t="n">
        <v>46</v>
      </c>
      <c r="AH183" s="7" t="n">
        <v>781</v>
      </c>
      <c r="AI183" s="5" t="s">
        <v>673</v>
      </c>
    </row>
    <row r="184" customFormat="false" ht="15" hidden="false" customHeight="false" outlineLevel="0" collapsed="false">
      <c r="A184" s="5" t="s">
        <v>667</v>
      </c>
      <c r="B184" s="5" t="s">
        <v>674</v>
      </c>
      <c r="C184" s="5" t="s">
        <v>675</v>
      </c>
      <c r="D184" s="5" t="s">
        <v>381</v>
      </c>
      <c r="E184" s="5" t="s">
        <v>59</v>
      </c>
      <c r="F184" s="6" t="n">
        <v>27983.22</v>
      </c>
      <c r="G184" s="7" t="n">
        <v>420</v>
      </c>
      <c r="H184" s="8" t="n">
        <v>0.3545</v>
      </c>
      <c r="I184" s="8" t="n">
        <v>-0.0118</v>
      </c>
      <c r="J184" s="7" t="n">
        <v>46</v>
      </c>
      <c r="K184" s="5" t="n">
        <v>22</v>
      </c>
      <c r="L184" s="5" t="n">
        <v>448</v>
      </c>
      <c r="M184" s="5" t="n">
        <v>4.5</v>
      </c>
      <c r="N184" s="15" t="s">
        <v>111</v>
      </c>
      <c r="O184" s="5" t="s">
        <v>676</v>
      </c>
      <c r="P184" s="5"/>
      <c r="Q184" s="5"/>
      <c r="R184" s="7"/>
      <c r="S184" s="7"/>
      <c r="T184" s="5"/>
      <c r="U184" s="6"/>
      <c r="V184" s="7"/>
      <c r="W184" s="5"/>
      <c r="X184" s="7"/>
      <c r="Y184" s="7"/>
      <c r="Z184" s="7"/>
      <c r="AA184" s="10"/>
      <c r="AB184" s="11"/>
      <c r="AC184" s="10"/>
      <c r="AD184" s="12"/>
      <c r="AE184" s="12"/>
      <c r="AF184" s="12"/>
      <c r="AG184" s="7"/>
      <c r="AH184" s="7"/>
      <c r="AI184" s="5" t="s">
        <v>677</v>
      </c>
    </row>
    <row r="185" customFormat="false" ht="15" hidden="false" customHeight="false" outlineLevel="0" collapsed="false">
      <c r="A185" s="5" t="s">
        <v>667</v>
      </c>
      <c r="B185" s="5" t="s">
        <v>678</v>
      </c>
      <c r="C185" s="5"/>
      <c r="D185" s="5" t="s">
        <v>667</v>
      </c>
      <c r="E185" s="5" t="s">
        <v>52</v>
      </c>
      <c r="F185" s="6" t="n">
        <v>24177.94</v>
      </c>
      <c r="G185" s="7" t="n">
        <v>216</v>
      </c>
      <c r="H185" s="8" t="n">
        <v>0.3129</v>
      </c>
      <c r="I185" s="8" t="n">
        <v>0.0746</v>
      </c>
      <c r="J185" s="7" t="n">
        <v>153</v>
      </c>
      <c r="K185" s="5" t="n">
        <v>10</v>
      </c>
      <c r="L185" s="5" t="n">
        <v>14</v>
      </c>
      <c r="M185" s="5" t="n">
        <v>4.2</v>
      </c>
      <c r="N185" s="9" t="s">
        <v>53</v>
      </c>
      <c r="O185" s="5"/>
      <c r="P185" s="5"/>
      <c r="Q185" s="5"/>
      <c r="R185" s="7"/>
      <c r="S185" s="7"/>
      <c r="T185" s="5"/>
      <c r="U185" s="6"/>
      <c r="V185" s="7"/>
      <c r="W185" s="5"/>
      <c r="X185" s="7"/>
      <c r="Y185" s="7"/>
      <c r="Z185" s="7"/>
      <c r="AA185" s="10"/>
      <c r="AB185" s="11"/>
      <c r="AC185" s="10"/>
      <c r="AD185" s="12"/>
      <c r="AE185" s="12"/>
      <c r="AF185" s="12"/>
      <c r="AG185" s="7"/>
      <c r="AH185" s="7"/>
      <c r="AI185" s="5" t="s">
        <v>679</v>
      </c>
    </row>
    <row r="186" customFormat="false" ht="15" hidden="false" customHeight="false" outlineLevel="0" collapsed="false">
      <c r="A186" s="5" t="s">
        <v>667</v>
      </c>
      <c r="B186" s="5" t="s">
        <v>680</v>
      </c>
      <c r="C186" s="5" t="s">
        <v>681</v>
      </c>
      <c r="D186" s="5" t="s">
        <v>58</v>
      </c>
      <c r="E186" s="5" t="s">
        <v>59</v>
      </c>
      <c r="F186" s="6" t="n">
        <v>24009.7</v>
      </c>
      <c r="G186" s="7" t="n">
        <v>894</v>
      </c>
      <c r="H186" s="8" t="n">
        <v>-0.0425</v>
      </c>
      <c r="I186" s="8" t="n">
        <v>-0.1887</v>
      </c>
      <c r="J186" s="7" t="n">
        <v>25</v>
      </c>
      <c r="K186" s="5" t="n">
        <v>13</v>
      </c>
      <c r="L186" s="5" t="n">
        <v>550</v>
      </c>
      <c r="M186" s="5" t="n">
        <v>3.2</v>
      </c>
      <c r="N186" s="13" t="s">
        <v>60</v>
      </c>
      <c r="O186" s="5"/>
      <c r="P186" s="5"/>
      <c r="Q186" s="5"/>
      <c r="R186" s="7"/>
      <c r="S186" s="7"/>
      <c r="T186" s="5"/>
      <c r="U186" s="6"/>
      <c r="V186" s="7"/>
      <c r="W186" s="5"/>
      <c r="X186" s="7"/>
      <c r="Y186" s="7"/>
      <c r="Z186" s="7"/>
      <c r="AA186" s="10"/>
      <c r="AB186" s="11"/>
      <c r="AC186" s="10"/>
      <c r="AD186" s="12"/>
      <c r="AE186" s="12"/>
      <c r="AF186" s="12"/>
      <c r="AG186" s="7"/>
      <c r="AH186" s="7"/>
      <c r="AI186" s="5" t="s">
        <v>682</v>
      </c>
    </row>
    <row r="187" customFormat="false" ht="15" hidden="false" customHeight="false" outlineLevel="0" collapsed="false">
      <c r="A187" s="5" t="s">
        <v>667</v>
      </c>
      <c r="B187" s="5" t="s">
        <v>683</v>
      </c>
      <c r="C187" s="5"/>
      <c r="D187" s="5" t="s">
        <v>667</v>
      </c>
      <c r="E187" s="5" t="s">
        <v>59</v>
      </c>
      <c r="F187" s="6" t="n">
        <v>23466.74</v>
      </c>
      <c r="G187" s="7" t="n">
        <v>1612</v>
      </c>
      <c r="H187" s="8" t="n">
        <v>1.7348</v>
      </c>
      <c r="I187" s="8" t="n">
        <v>1.5346</v>
      </c>
      <c r="J187" s="7" t="n">
        <v>32</v>
      </c>
      <c r="K187" s="5" t="n">
        <v>9</v>
      </c>
      <c r="L187" s="5" t="n">
        <v>23</v>
      </c>
      <c r="M187" s="5" t="n">
        <v>4.3</v>
      </c>
      <c r="N187" s="9" t="s">
        <v>53</v>
      </c>
      <c r="O187" s="5"/>
      <c r="P187" s="5"/>
      <c r="Q187" s="5"/>
      <c r="R187" s="7"/>
      <c r="S187" s="7"/>
      <c r="T187" s="5"/>
      <c r="U187" s="6"/>
      <c r="V187" s="7"/>
      <c r="W187" s="5"/>
      <c r="X187" s="7"/>
      <c r="Y187" s="7"/>
      <c r="Z187" s="7"/>
      <c r="AA187" s="10"/>
      <c r="AB187" s="11"/>
      <c r="AC187" s="10"/>
      <c r="AD187" s="12"/>
      <c r="AE187" s="12"/>
      <c r="AF187" s="12"/>
      <c r="AG187" s="7"/>
      <c r="AH187" s="7"/>
      <c r="AI187" s="5" t="s">
        <v>684</v>
      </c>
    </row>
    <row r="188" customFormat="false" ht="15" hidden="false" customHeight="false" outlineLevel="0" collapsed="false">
      <c r="A188" s="5" t="s">
        <v>667</v>
      </c>
      <c r="B188" s="5" t="s">
        <v>685</v>
      </c>
      <c r="C188" s="5"/>
      <c r="D188" s="5" t="s">
        <v>667</v>
      </c>
      <c r="E188" s="5" t="s">
        <v>52</v>
      </c>
      <c r="F188" s="6" t="n">
        <v>22138.03</v>
      </c>
      <c r="G188" s="7" t="n">
        <v>1085</v>
      </c>
      <c r="H188" s="8" t="n">
        <v>0.0075</v>
      </c>
      <c r="I188" s="8" t="n">
        <v>-0.0875</v>
      </c>
      <c r="J188" s="7" t="n">
        <v>646</v>
      </c>
      <c r="K188" s="5" t="n">
        <v>11</v>
      </c>
      <c r="L188" s="5" t="n">
        <v>18</v>
      </c>
      <c r="M188" s="5" t="n">
        <v>4.3</v>
      </c>
      <c r="N188" s="9" t="s">
        <v>53</v>
      </c>
      <c r="O188" s="5"/>
      <c r="P188" s="5"/>
      <c r="Q188" s="5"/>
      <c r="R188" s="7"/>
      <c r="S188" s="7"/>
      <c r="T188" s="5"/>
      <c r="U188" s="6"/>
      <c r="V188" s="7"/>
      <c r="W188" s="5"/>
      <c r="X188" s="7"/>
      <c r="Y188" s="7"/>
      <c r="Z188" s="7"/>
      <c r="AA188" s="10"/>
      <c r="AB188" s="11"/>
      <c r="AC188" s="10"/>
      <c r="AD188" s="12"/>
      <c r="AE188" s="12"/>
      <c r="AF188" s="12"/>
      <c r="AG188" s="7"/>
      <c r="AH188" s="7"/>
      <c r="AI188" s="5" t="s">
        <v>686</v>
      </c>
    </row>
    <row r="189" customFormat="false" ht="15" hidden="false" customHeight="false" outlineLevel="0" collapsed="false">
      <c r="A189" s="5" t="s">
        <v>667</v>
      </c>
      <c r="B189" s="5" t="s">
        <v>687</v>
      </c>
      <c r="C189" s="5" t="s">
        <v>688</v>
      </c>
      <c r="D189" s="5" t="s">
        <v>667</v>
      </c>
      <c r="E189" s="5" t="s">
        <v>59</v>
      </c>
      <c r="F189" s="6" t="n">
        <v>21363.58</v>
      </c>
      <c r="G189" s="7" t="n">
        <v>687</v>
      </c>
      <c r="H189" s="8" t="n">
        <v>-0.049</v>
      </c>
      <c r="I189" s="8" t="n">
        <v>-0.0524</v>
      </c>
      <c r="J189" s="7" t="n">
        <v>112</v>
      </c>
      <c r="K189" s="5" t="n">
        <v>65</v>
      </c>
      <c r="L189" s="5" t="n">
        <v>219</v>
      </c>
      <c r="M189" s="5" t="n">
        <v>4.6</v>
      </c>
      <c r="N189" s="9" t="s">
        <v>53</v>
      </c>
      <c r="O189" s="5"/>
      <c r="P189" s="5" t="s">
        <v>689</v>
      </c>
      <c r="Q189" s="14" t="s">
        <v>690</v>
      </c>
      <c r="R189" s="7" t="n">
        <v>7028</v>
      </c>
      <c r="S189" s="7" t="n">
        <v>1055</v>
      </c>
      <c r="T189" s="5" t="s">
        <v>691</v>
      </c>
      <c r="U189" s="6" t="n">
        <v>264497.95</v>
      </c>
      <c r="V189" s="7" t="n">
        <v>10849</v>
      </c>
      <c r="W189" s="5" t="n">
        <v>292</v>
      </c>
      <c r="X189" s="7" t="n">
        <v>78</v>
      </c>
      <c r="Y189" s="7" t="n">
        <v>1658</v>
      </c>
      <c r="Z189" s="7" t="n">
        <v>31</v>
      </c>
      <c r="AA189" s="10" t="n">
        <v>8.99</v>
      </c>
      <c r="AB189" s="11" t="n">
        <v>141.32</v>
      </c>
      <c r="AC189" s="10" t="n">
        <v>25.63</v>
      </c>
      <c r="AD189" s="12" t="n">
        <v>0.61</v>
      </c>
      <c r="AE189" s="12" t="n">
        <v>0.93</v>
      </c>
      <c r="AF189" s="12" t="n">
        <v>0.86</v>
      </c>
      <c r="AG189" s="7" t="n">
        <v>17</v>
      </c>
      <c r="AH189" s="7" t="n">
        <v>1259</v>
      </c>
      <c r="AI189" s="5" t="s">
        <v>692</v>
      </c>
    </row>
    <row r="190" customFormat="false" ht="15" hidden="false" customHeight="false" outlineLevel="0" collapsed="false">
      <c r="A190" s="5" t="s">
        <v>667</v>
      </c>
      <c r="B190" s="5" t="s">
        <v>693</v>
      </c>
      <c r="C190" s="5" t="s">
        <v>694</v>
      </c>
      <c r="D190" s="5" t="s">
        <v>551</v>
      </c>
      <c r="E190" s="5" t="s">
        <v>59</v>
      </c>
      <c r="F190" s="6" t="n">
        <v>21132.33</v>
      </c>
      <c r="G190" s="7" t="n">
        <v>958</v>
      </c>
      <c r="H190" s="8" t="n">
        <v>1.3613</v>
      </c>
      <c r="I190" s="8" t="n">
        <v>0.4193</v>
      </c>
      <c r="J190" s="7" t="n">
        <v>393</v>
      </c>
      <c r="K190" s="5" t="n">
        <v>6</v>
      </c>
      <c r="L190" s="5" t="n">
        <v>171</v>
      </c>
      <c r="M190" s="5" t="n">
        <v>4.1</v>
      </c>
      <c r="N190" s="15" t="s">
        <v>111</v>
      </c>
      <c r="O190" s="5" t="s">
        <v>695</v>
      </c>
      <c r="P190" s="5"/>
      <c r="Q190" s="5"/>
      <c r="R190" s="7"/>
      <c r="S190" s="7"/>
      <c r="T190" s="5"/>
      <c r="U190" s="6"/>
      <c r="V190" s="7"/>
      <c r="W190" s="5"/>
      <c r="X190" s="7"/>
      <c r="Y190" s="7"/>
      <c r="Z190" s="7"/>
      <c r="AA190" s="10"/>
      <c r="AB190" s="11"/>
      <c r="AC190" s="10"/>
      <c r="AD190" s="12"/>
      <c r="AE190" s="12"/>
      <c r="AF190" s="12"/>
      <c r="AG190" s="7"/>
      <c r="AH190" s="7"/>
      <c r="AI190" s="5" t="s">
        <v>696</v>
      </c>
    </row>
    <row r="191" customFormat="false" ht="15" hidden="false" customHeight="false" outlineLevel="0" collapsed="false">
      <c r="A191" s="5" t="s">
        <v>697</v>
      </c>
      <c r="B191" s="5" t="s">
        <v>698</v>
      </c>
      <c r="C191" s="5" t="s">
        <v>699</v>
      </c>
      <c r="D191" s="5" t="s">
        <v>58</v>
      </c>
      <c r="E191" s="5" t="s">
        <v>59</v>
      </c>
      <c r="F191" s="6" t="n">
        <v>29297.73</v>
      </c>
      <c r="G191" s="7" t="n">
        <v>1322</v>
      </c>
      <c r="H191" s="8" t="n">
        <v>0.0937</v>
      </c>
      <c r="I191" s="8" t="n">
        <v>-0.1331</v>
      </c>
      <c r="J191" s="7" t="n">
        <v>137</v>
      </c>
      <c r="K191" s="5" t="n">
        <v>34</v>
      </c>
      <c r="L191" s="5" t="n">
        <v>756</v>
      </c>
      <c r="M191" s="5" t="n">
        <v>4</v>
      </c>
      <c r="N191" s="15" t="s">
        <v>111</v>
      </c>
      <c r="O191" s="5" t="s">
        <v>700</v>
      </c>
      <c r="P191" s="5"/>
      <c r="Q191" s="5"/>
      <c r="R191" s="7"/>
      <c r="S191" s="7"/>
      <c r="T191" s="5"/>
      <c r="U191" s="6"/>
      <c r="V191" s="7"/>
      <c r="W191" s="5"/>
      <c r="X191" s="7"/>
      <c r="Y191" s="7"/>
      <c r="Z191" s="7"/>
      <c r="AA191" s="10"/>
      <c r="AB191" s="11"/>
      <c r="AC191" s="10"/>
      <c r="AD191" s="12"/>
      <c r="AE191" s="12"/>
      <c r="AF191" s="12"/>
      <c r="AG191" s="7"/>
      <c r="AH191" s="7"/>
      <c r="AI191" s="5" t="s">
        <v>701</v>
      </c>
    </row>
    <row r="192" customFormat="false" ht="15" hidden="false" customHeight="false" outlineLevel="0" collapsed="false">
      <c r="A192" s="5" t="s">
        <v>697</v>
      </c>
      <c r="B192" s="5" t="s">
        <v>702</v>
      </c>
      <c r="C192" s="5" t="s">
        <v>703</v>
      </c>
      <c r="D192" s="5" t="s">
        <v>697</v>
      </c>
      <c r="E192" s="5" t="s">
        <v>52</v>
      </c>
      <c r="F192" s="6" t="n">
        <v>28314.3</v>
      </c>
      <c r="G192" s="7" t="n">
        <v>2424</v>
      </c>
      <c r="H192" s="8" t="n">
        <v>3.0224</v>
      </c>
      <c r="I192" s="8" t="n">
        <v>2.9803</v>
      </c>
      <c r="J192" s="7" t="n">
        <v>524</v>
      </c>
      <c r="K192" s="5" t="n">
        <v>12</v>
      </c>
      <c r="L192" s="5" t="n">
        <v>26</v>
      </c>
      <c r="M192" s="5" t="n">
        <v>4</v>
      </c>
      <c r="N192" s="9" t="s">
        <v>53</v>
      </c>
      <c r="O192" s="5"/>
      <c r="P192" s="5"/>
      <c r="Q192" s="5"/>
      <c r="R192" s="7"/>
      <c r="S192" s="7"/>
      <c r="T192" s="5"/>
      <c r="U192" s="6"/>
      <c r="V192" s="7"/>
      <c r="W192" s="5"/>
      <c r="X192" s="7"/>
      <c r="Y192" s="7"/>
      <c r="Z192" s="7"/>
      <c r="AA192" s="10"/>
      <c r="AB192" s="11"/>
      <c r="AC192" s="10"/>
      <c r="AD192" s="12"/>
      <c r="AE192" s="12"/>
      <c r="AF192" s="12"/>
      <c r="AG192" s="7"/>
      <c r="AH192" s="7"/>
      <c r="AI192" s="5" t="s">
        <v>704</v>
      </c>
    </row>
    <row r="193" customFormat="false" ht="15" hidden="false" customHeight="false" outlineLevel="0" collapsed="false">
      <c r="A193" s="5" t="s">
        <v>697</v>
      </c>
      <c r="B193" s="5" t="s">
        <v>705</v>
      </c>
      <c r="C193" s="5" t="s">
        <v>706</v>
      </c>
      <c r="D193" s="5" t="s">
        <v>697</v>
      </c>
      <c r="E193" s="5" t="s">
        <v>52</v>
      </c>
      <c r="F193" s="6" t="n">
        <v>27808.17</v>
      </c>
      <c r="G193" s="7" t="n">
        <v>3339</v>
      </c>
      <c r="H193" s="8" t="n">
        <v>0.3608</v>
      </c>
      <c r="I193" s="8" t="n">
        <v>0.0487</v>
      </c>
      <c r="J193" s="7" t="n">
        <v>661</v>
      </c>
      <c r="K193" s="5" t="n">
        <v>36</v>
      </c>
      <c r="L193" s="5" t="n">
        <v>63</v>
      </c>
      <c r="M193" s="5" t="n">
        <v>4.3</v>
      </c>
      <c r="N193" s="9" t="s">
        <v>53</v>
      </c>
      <c r="O193" s="5"/>
      <c r="P193" s="5"/>
      <c r="Q193" s="5"/>
      <c r="R193" s="7"/>
      <c r="S193" s="7"/>
      <c r="T193" s="5"/>
      <c r="U193" s="6"/>
      <c r="V193" s="7"/>
      <c r="W193" s="5"/>
      <c r="X193" s="7"/>
      <c r="Y193" s="7"/>
      <c r="Z193" s="7"/>
      <c r="AA193" s="10"/>
      <c r="AB193" s="11"/>
      <c r="AC193" s="10"/>
      <c r="AD193" s="12"/>
      <c r="AE193" s="12"/>
      <c r="AF193" s="12"/>
      <c r="AG193" s="7"/>
      <c r="AH193" s="7"/>
      <c r="AI193" s="5" t="s">
        <v>707</v>
      </c>
    </row>
    <row r="194" customFormat="false" ht="15" hidden="false" customHeight="false" outlineLevel="0" collapsed="false">
      <c r="A194" s="5" t="s">
        <v>697</v>
      </c>
      <c r="B194" s="5" t="s">
        <v>708</v>
      </c>
      <c r="C194" s="5" t="s">
        <v>709</v>
      </c>
      <c r="D194" s="5" t="s">
        <v>697</v>
      </c>
      <c r="E194" s="5" t="s">
        <v>59</v>
      </c>
      <c r="F194" s="6" t="n">
        <v>27412.15</v>
      </c>
      <c r="G194" s="7" t="n">
        <v>1682</v>
      </c>
      <c r="H194" s="8" t="n">
        <v>0.8711</v>
      </c>
      <c r="I194" s="8" t="n">
        <v>0.7913</v>
      </c>
      <c r="J194" s="7" t="n">
        <v>397</v>
      </c>
      <c r="K194" s="5" t="n">
        <v>7</v>
      </c>
      <c r="L194" s="5" t="n">
        <v>21</v>
      </c>
      <c r="M194" s="5" t="n">
        <v>4.8</v>
      </c>
      <c r="N194" s="9" t="s">
        <v>53</v>
      </c>
      <c r="O194" s="5"/>
      <c r="P194" s="5" t="s">
        <v>710</v>
      </c>
      <c r="Q194" s="14" t="s">
        <v>711</v>
      </c>
      <c r="R194" s="7" t="n">
        <v>3455</v>
      </c>
      <c r="S194" s="7" t="n">
        <v>1553</v>
      </c>
      <c r="T194" s="5" t="s">
        <v>712</v>
      </c>
      <c r="U194" s="6" t="n">
        <v>813540.32</v>
      </c>
      <c r="V194" s="7" t="n">
        <v>61313</v>
      </c>
      <c r="W194" s="5" t="n">
        <v>29</v>
      </c>
      <c r="X194" s="7" t="n">
        <v>1989</v>
      </c>
      <c r="Y194" s="7" t="n">
        <v>5347</v>
      </c>
      <c r="Z194" s="7" t="n">
        <v>896</v>
      </c>
      <c r="AA194" s="10" t="n">
        <v>2.99</v>
      </c>
      <c r="AB194" s="11" t="n">
        <v>58.92</v>
      </c>
      <c r="AC194" s="10" t="n">
        <v>14.74</v>
      </c>
      <c r="AD194" s="12" t="n">
        <v>0.96</v>
      </c>
      <c r="AE194" s="12" t="n">
        <v>0.95</v>
      </c>
      <c r="AF194" s="12" t="n">
        <v>0.88</v>
      </c>
      <c r="AG194" s="7" t="n">
        <v>63</v>
      </c>
      <c r="AH194" s="7" t="n">
        <v>1671</v>
      </c>
      <c r="AI194" s="5" t="s">
        <v>713</v>
      </c>
    </row>
    <row r="195" customFormat="false" ht="15" hidden="false" customHeight="false" outlineLevel="0" collapsed="false">
      <c r="A195" s="5" t="s">
        <v>697</v>
      </c>
      <c r="B195" s="5" t="s">
        <v>714</v>
      </c>
      <c r="C195" s="5" t="s">
        <v>715</v>
      </c>
      <c r="D195" s="5" t="s">
        <v>697</v>
      </c>
      <c r="E195" s="5" t="s">
        <v>59</v>
      </c>
      <c r="F195" s="6" t="n">
        <v>27409.08</v>
      </c>
      <c r="G195" s="7" t="n">
        <v>4207</v>
      </c>
      <c r="H195" s="8" t="n">
        <v>-0.1266</v>
      </c>
      <c r="I195" s="8" t="n">
        <v>-0.245</v>
      </c>
      <c r="J195" s="7" t="n">
        <v>2228</v>
      </c>
      <c r="K195" s="5" t="n">
        <v>93</v>
      </c>
      <c r="L195" s="5" t="n">
        <v>89</v>
      </c>
      <c r="M195" s="5" t="n">
        <v>4.4</v>
      </c>
      <c r="N195" s="9" t="s">
        <v>53</v>
      </c>
      <c r="O195" s="5"/>
      <c r="P195" s="5" t="s">
        <v>716</v>
      </c>
      <c r="Q195" s="14" t="s">
        <v>717</v>
      </c>
      <c r="R195" s="7" t="n">
        <v>564436</v>
      </c>
      <c r="S195" s="7" t="n">
        <v>1196</v>
      </c>
      <c r="T195" s="5" t="s">
        <v>718</v>
      </c>
      <c r="U195" s="6" t="n">
        <v>1027408.86</v>
      </c>
      <c r="V195" s="7" t="n">
        <v>192805</v>
      </c>
      <c r="W195" s="5" t="n">
        <v>328</v>
      </c>
      <c r="X195" s="7" t="n">
        <v>966</v>
      </c>
      <c r="Y195" s="7" t="n">
        <v>5704</v>
      </c>
      <c r="Z195" s="7" t="n">
        <v>1348</v>
      </c>
      <c r="AA195" s="10" t="n">
        <v>0.45</v>
      </c>
      <c r="AB195" s="11" t="n">
        <v>114.8</v>
      </c>
      <c r="AC195" s="10" t="n">
        <v>6.83</v>
      </c>
      <c r="AD195" s="12" t="n">
        <v>0.7</v>
      </c>
      <c r="AE195" s="12" t="n">
        <v>0.93</v>
      </c>
      <c r="AF195" s="12" t="n">
        <v>0.95</v>
      </c>
      <c r="AG195" s="7" t="n">
        <v>56</v>
      </c>
      <c r="AH195" s="7" t="n">
        <v>1530</v>
      </c>
      <c r="AI195" s="5" t="s">
        <v>719</v>
      </c>
    </row>
    <row r="196" customFormat="false" ht="15" hidden="false" customHeight="false" outlineLevel="0" collapsed="false">
      <c r="A196" s="5" t="s">
        <v>421</v>
      </c>
      <c r="B196" s="5" t="s">
        <v>720</v>
      </c>
      <c r="C196" s="5" t="s">
        <v>721</v>
      </c>
      <c r="D196" s="5" t="s">
        <v>421</v>
      </c>
      <c r="E196" s="5" t="s">
        <v>59</v>
      </c>
      <c r="F196" s="6" t="n">
        <v>26965.49</v>
      </c>
      <c r="G196" s="7" t="n">
        <v>893</v>
      </c>
      <c r="H196" s="8" t="n">
        <v>0.8467</v>
      </c>
      <c r="I196" s="8" t="n">
        <v>0.4883</v>
      </c>
      <c r="J196" s="7" t="n">
        <v>279</v>
      </c>
      <c r="K196" s="5" t="n">
        <v>23</v>
      </c>
      <c r="L196" s="5" t="n">
        <v>60</v>
      </c>
      <c r="M196" s="5" t="n">
        <v>3.4</v>
      </c>
      <c r="N196" s="9" t="s">
        <v>53</v>
      </c>
      <c r="O196" s="5"/>
      <c r="P196" s="5" t="s">
        <v>722</v>
      </c>
      <c r="Q196" s="14" t="s">
        <v>723</v>
      </c>
      <c r="R196" s="7" t="n">
        <v>41890</v>
      </c>
      <c r="S196" s="7" t="n">
        <v>3367</v>
      </c>
      <c r="T196" s="5" t="s">
        <v>724</v>
      </c>
      <c r="U196" s="6" t="n">
        <v>868902.75</v>
      </c>
      <c r="V196" s="7" t="n">
        <v>38019</v>
      </c>
      <c r="W196" s="5" t="n">
        <v>103</v>
      </c>
      <c r="X196" s="7" t="n">
        <v>567</v>
      </c>
      <c r="Y196" s="7" t="n">
        <v>1998</v>
      </c>
      <c r="Z196" s="7" t="n">
        <v>1325</v>
      </c>
      <c r="AA196" s="10" t="n">
        <v>1.12</v>
      </c>
      <c r="AB196" s="11" t="n">
        <v>119</v>
      </c>
      <c r="AC196" s="10" t="n">
        <v>21.05</v>
      </c>
      <c r="AD196" s="12" t="n">
        <v>0.73</v>
      </c>
      <c r="AE196" s="12" t="n">
        <v>0.88</v>
      </c>
      <c r="AF196" s="12" t="n">
        <v>0.98</v>
      </c>
      <c r="AG196" s="7" t="n">
        <v>313</v>
      </c>
      <c r="AH196" s="7" t="n">
        <v>1736</v>
      </c>
      <c r="AI196" s="5" t="s">
        <v>725</v>
      </c>
    </row>
    <row r="197" customFormat="false" ht="15" hidden="false" customHeight="false" outlineLevel="0" collapsed="false">
      <c r="A197" s="5" t="s">
        <v>421</v>
      </c>
      <c r="B197" s="5" t="s">
        <v>726</v>
      </c>
      <c r="C197" s="5"/>
      <c r="D197" s="5" t="s">
        <v>421</v>
      </c>
      <c r="E197" s="5" t="s">
        <v>52</v>
      </c>
      <c r="F197" s="6" t="n">
        <v>21339.85</v>
      </c>
      <c r="G197" s="7" t="n">
        <v>901</v>
      </c>
      <c r="H197" s="8" t="n">
        <v>-0.3114</v>
      </c>
      <c r="I197" s="8" t="n">
        <v>-0.3708</v>
      </c>
      <c r="J197" s="7" t="n">
        <v>317</v>
      </c>
      <c r="K197" s="5" t="n">
        <v>20</v>
      </c>
      <c r="L197" s="5" t="n">
        <v>124</v>
      </c>
      <c r="M197" s="5" t="n">
        <v>4.5</v>
      </c>
      <c r="N197" s="9" t="s">
        <v>53</v>
      </c>
      <c r="O197" s="5"/>
      <c r="P197" s="5"/>
      <c r="Q197" s="5"/>
      <c r="R197" s="7"/>
      <c r="S197" s="7"/>
      <c r="T197" s="5"/>
      <c r="U197" s="6"/>
      <c r="V197" s="7"/>
      <c r="W197" s="5"/>
      <c r="X197" s="7"/>
      <c r="Y197" s="7"/>
      <c r="Z197" s="7"/>
      <c r="AA197" s="10"/>
      <c r="AB197" s="11"/>
      <c r="AC197" s="10"/>
      <c r="AD197" s="12"/>
      <c r="AE197" s="12"/>
      <c r="AF197" s="12"/>
      <c r="AG197" s="7"/>
      <c r="AH197" s="7"/>
      <c r="AI197" s="5" t="s">
        <v>727</v>
      </c>
    </row>
    <row r="198" customFormat="false" ht="15" hidden="false" customHeight="false" outlineLevel="0" collapsed="false">
      <c r="A198" s="5" t="s">
        <v>421</v>
      </c>
      <c r="B198" s="5" t="s">
        <v>728</v>
      </c>
      <c r="C198" s="5" t="s">
        <v>729</v>
      </c>
      <c r="D198" s="5" t="s">
        <v>421</v>
      </c>
      <c r="E198" s="5" t="s">
        <v>52</v>
      </c>
      <c r="F198" s="6" t="n">
        <v>15718.4</v>
      </c>
      <c r="G198" s="7" t="n">
        <v>896</v>
      </c>
      <c r="H198" s="8" t="n">
        <v>-0.4346</v>
      </c>
      <c r="I198" s="8" t="n">
        <v>-0.4132</v>
      </c>
      <c r="J198" s="7" t="n">
        <v>109</v>
      </c>
      <c r="K198" s="5" t="n">
        <v>2</v>
      </c>
      <c r="L198" s="5" t="n">
        <v>7</v>
      </c>
      <c r="M198" s="5" t="n">
        <v>4.7</v>
      </c>
      <c r="N198" s="9" t="s">
        <v>53</v>
      </c>
      <c r="O198" s="5"/>
      <c r="P198" s="5"/>
      <c r="Q198" s="5"/>
      <c r="R198" s="7"/>
      <c r="S198" s="7"/>
      <c r="T198" s="5"/>
      <c r="U198" s="6"/>
      <c r="V198" s="7"/>
      <c r="W198" s="5"/>
      <c r="X198" s="7"/>
      <c r="Y198" s="7"/>
      <c r="Z198" s="7"/>
      <c r="AA198" s="10"/>
      <c r="AB198" s="11"/>
      <c r="AC198" s="10"/>
      <c r="AD198" s="12"/>
      <c r="AE198" s="12"/>
      <c r="AF198" s="12"/>
      <c r="AG198" s="7"/>
      <c r="AH198" s="7"/>
      <c r="AI198" s="5" t="s">
        <v>730</v>
      </c>
    </row>
    <row r="199" customFormat="false" ht="15" hidden="false" customHeight="false" outlineLevel="0" collapsed="false">
      <c r="A199" s="5" t="s">
        <v>421</v>
      </c>
      <c r="B199" s="5" t="s">
        <v>731</v>
      </c>
      <c r="C199" s="5" t="s">
        <v>732</v>
      </c>
      <c r="D199" s="5" t="s">
        <v>421</v>
      </c>
      <c r="E199" s="5" t="s">
        <v>52</v>
      </c>
      <c r="F199" s="6" t="n">
        <v>14480.39</v>
      </c>
      <c r="G199" s="7" t="n">
        <v>909</v>
      </c>
      <c r="H199" s="8" t="n">
        <v>3.7846</v>
      </c>
      <c r="I199" s="8" t="n">
        <v>3.058</v>
      </c>
      <c r="J199" s="7" t="n">
        <v>131</v>
      </c>
      <c r="K199" s="5" t="n">
        <v>1</v>
      </c>
      <c r="L199" s="5" t="n">
        <v>1</v>
      </c>
      <c r="M199" s="5" t="n">
        <v>4.6</v>
      </c>
      <c r="N199" s="9" t="s">
        <v>53</v>
      </c>
      <c r="O199" s="5"/>
      <c r="P199" s="5"/>
      <c r="Q199" s="5"/>
      <c r="R199" s="7"/>
      <c r="S199" s="7"/>
      <c r="T199" s="5"/>
      <c r="U199" s="6"/>
      <c r="V199" s="7"/>
      <c r="W199" s="5"/>
      <c r="X199" s="7"/>
      <c r="Y199" s="7"/>
      <c r="Z199" s="7"/>
      <c r="AA199" s="10"/>
      <c r="AB199" s="11"/>
      <c r="AC199" s="10"/>
      <c r="AD199" s="12"/>
      <c r="AE199" s="12"/>
      <c r="AF199" s="12"/>
      <c r="AG199" s="7"/>
      <c r="AH199" s="7"/>
      <c r="AI199" s="5" t="s">
        <v>733</v>
      </c>
    </row>
    <row r="200" customFormat="false" ht="15" hidden="false" customHeight="false" outlineLevel="0" collapsed="false">
      <c r="A200" s="5" t="s">
        <v>421</v>
      </c>
      <c r="B200" s="5" t="s">
        <v>734</v>
      </c>
      <c r="C200" s="5"/>
      <c r="D200" s="5" t="s">
        <v>421</v>
      </c>
      <c r="E200" s="5" t="s">
        <v>59</v>
      </c>
      <c r="F200" s="6" t="n">
        <v>13563.59</v>
      </c>
      <c r="G200" s="7" t="n">
        <v>915</v>
      </c>
      <c r="H200" s="8" t="n">
        <v>0</v>
      </c>
      <c r="I200" s="8" t="n">
        <v>0</v>
      </c>
      <c r="J200" s="7" t="n">
        <v>77</v>
      </c>
      <c r="K200" s="5" t="n">
        <v>2</v>
      </c>
      <c r="L200" s="5" t="n">
        <v>380</v>
      </c>
      <c r="M200" s="5" t="n">
        <v>0.1</v>
      </c>
      <c r="N200" s="9" t="s">
        <v>53</v>
      </c>
      <c r="O200" s="5"/>
      <c r="P200" s="5"/>
      <c r="Q200" s="5"/>
      <c r="R200" s="7"/>
      <c r="S200" s="7"/>
      <c r="T200" s="5"/>
      <c r="U200" s="6"/>
      <c r="V200" s="7"/>
      <c r="W200" s="5"/>
      <c r="X200" s="7"/>
      <c r="Y200" s="7"/>
      <c r="Z200" s="7"/>
      <c r="AA200" s="10"/>
      <c r="AB200" s="11"/>
      <c r="AC200" s="10"/>
      <c r="AD200" s="12"/>
      <c r="AE200" s="12"/>
      <c r="AF200" s="12"/>
      <c r="AG200" s="7"/>
      <c r="AH200" s="7"/>
      <c r="AI200" s="5" t="s">
        <v>735</v>
      </c>
    </row>
    <row r="201" customFormat="false" ht="15" hidden="false" customHeight="false" outlineLevel="0" collapsed="false">
      <c r="A201" s="5" t="s">
        <v>421</v>
      </c>
      <c r="B201" s="5" t="s">
        <v>736</v>
      </c>
      <c r="C201" s="5"/>
      <c r="D201" s="5" t="s">
        <v>421</v>
      </c>
      <c r="E201" s="5" t="s">
        <v>52</v>
      </c>
      <c r="F201" s="6" t="n">
        <v>11606.38</v>
      </c>
      <c r="G201" s="7" t="n">
        <v>904</v>
      </c>
      <c r="H201" s="8" t="n">
        <v>0.5657</v>
      </c>
      <c r="I201" s="8" t="n">
        <v>0.4349</v>
      </c>
      <c r="J201" s="7" t="n">
        <v>301</v>
      </c>
      <c r="K201" s="5" t="n">
        <v>42</v>
      </c>
      <c r="L201" s="5" t="n">
        <v>157</v>
      </c>
      <c r="M201" s="5" t="n">
        <v>4.7</v>
      </c>
      <c r="N201" s="9" t="s">
        <v>53</v>
      </c>
      <c r="O201" s="5"/>
      <c r="P201" s="5"/>
      <c r="Q201" s="5"/>
      <c r="R201" s="7"/>
      <c r="S201" s="7"/>
      <c r="T201" s="5"/>
      <c r="U201" s="6"/>
      <c r="V201" s="7"/>
      <c r="W201" s="5"/>
      <c r="X201" s="7"/>
      <c r="Y201" s="7"/>
      <c r="Z201" s="7"/>
      <c r="AA201" s="10"/>
      <c r="AB201" s="11"/>
      <c r="AC201" s="10"/>
      <c r="AD201" s="12"/>
      <c r="AE201" s="12"/>
      <c r="AF201" s="12"/>
      <c r="AG201" s="7"/>
      <c r="AH201" s="7"/>
      <c r="AI201" s="5" t="s">
        <v>737</v>
      </c>
    </row>
    <row r="202" customFormat="false" ht="15" hidden="false" customHeight="false" outlineLevel="0" collapsed="false">
      <c r="A202" s="5" t="s">
        <v>421</v>
      </c>
      <c r="B202" s="5" t="s">
        <v>738</v>
      </c>
      <c r="C202" s="5"/>
      <c r="D202" s="5" t="s">
        <v>421</v>
      </c>
      <c r="E202" s="5" t="s">
        <v>59</v>
      </c>
      <c r="F202" s="6" t="n">
        <v>11558.4</v>
      </c>
      <c r="G202" s="7" t="n">
        <v>914</v>
      </c>
      <c r="H202" s="8" t="n">
        <v>2.0234</v>
      </c>
      <c r="I202" s="8" t="n">
        <v>2.2878</v>
      </c>
      <c r="J202" s="7" t="n">
        <v>184</v>
      </c>
      <c r="K202" s="5" t="n">
        <v>2</v>
      </c>
      <c r="L202" s="5" t="n">
        <v>387</v>
      </c>
      <c r="M202" s="5" t="n">
        <v>4.8</v>
      </c>
      <c r="N202" s="9" t="s">
        <v>53</v>
      </c>
      <c r="O202" s="5" t="s">
        <v>136</v>
      </c>
      <c r="P202" s="5"/>
      <c r="Q202" s="5"/>
      <c r="R202" s="7"/>
      <c r="S202" s="7"/>
      <c r="T202" s="5" t="s">
        <v>739</v>
      </c>
      <c r="U202" s="6" t="n">
        <v>13451.08</v>
      </c>
      <c r="V202" s="7" t="n">
        <v>1285</v>
      </c>
      <c r="W202" s="5" t="n">
        <v>339</v>
      </c>
      <c r="X202" s="7" t="n">
        <v>138</v>
      </c>
      <c r="Y202" s="7" t="n">
        <v>254</v>
      </c>
      <c r="Z202" s="7" t="n">
        <v>17</v>
      </c>
      <c r="AA202" s="10" t="n">
        <v>7.5</v>
      </c>
      <c r="AB202" s="11" t="n">
        <v>14.05</v>
      </c>
      <c r="AC202" s="10"/>
      <c r="AD202" s="12"/>
      <c r="AE202" s="12"/>
      <c r="AF202" s="12"/>
      <c r="AG202" s="7" t="n">
        <v>596</v>
      </c>
      <c r="AH202" s="7" t="n">
        <v>3406</v>
      </c>
      <c r="AI202" s="5" t="s">
        <v>740</v>
      </c>
    </row>
    <row r="203" customFormat="false" ht="15" hidden="false" customHeight="false" outlineLevel="0" collapsed="false">
      <c r="A203" s="5" t="s">
        <v>421</v>
      </c>
      <c r="B203" s="5" t="s">
        <v>741</v>
      </c>
      <c r="C203" s="5" t="s">
        <v>742</v>
      </c>
      <c r="D203" s="5" t="s">
        <v>421</v>
      </c>
      <c r="E203" s="5" t="s">
        <v>52</v>
      </c>
      <c r="F203" s="6" t="n">
        <v>11245.08</v>
      </c>
      <c r="G203" s="7" t="n">
        <v>896</v>
      </c>
      <c r="H203" s="8" t="n">
        <v>-0.3734</v>
      </c>
      <c r="I203" s="8" t="n">
        <v>-0.4151</v>
      </c>
      <c r="J203" s="7" t="n">
        <v>303</v>
      </c>
      <c r="K203" s="5" t="n">
        <v>59</v>
      </c>
      <c r="L203" s="5" t="n">
        <v>136</v>
      </c>
      <c r="M203" s="5" t="n">
        <v>4.7</v>
      </c>
      <c r="N203" s="9" t="s">
        <v>53</v>
      </c>
      <c r="O203" s="5"/>
      <c r="P203" s="5"/>
      <c r="Q203" s="5"/>
      <c r="R203" s="7"/>
      <c r="S203" s="7"/>
      <c r="T203" s="5"/>
      <c r="U203" s="6"/>
      <c r="V203" s="7"/>
      <c r="W203" s="5"/>
      <c r="X203" s="7"/>
      <c r="Y203" s="7"/>
      <c r="Z203" s="7"/>
      <c r="AA203" s="10"/>
      <c r="AB203" s="11"/>
      <c r="AC203" s="10"/>
      <c r="AD203" s="12"/>
      <c r="AE203" s="12"/>
      <c r="AF203" s="12"/>
      <c r="AG203" s="7"/>
      <c r="AH203" s="7"/>
      <c r="AI203" s="5" t="s">
        <v>743</v>
      </c>
    </row>
  </sheetData>
  <hyperlinks>
    <hyperlink ref="Q6" r:id="rId1" display="https://www.tiktok.com/@zmgh49shop"/>
    <hyperlink ref="Q8" r:id="rId2" display="https://www.tiktok.com/@sisuocor"/>
    <hyperlink ref="Q13" r:id="rId3" display="https://www.tiktok.com/@booboobabyproducts.com"/>
    <hyperlink ref="Q16" r:id="rId4" display="https://www.tiktok.com/@ladidatoystore"/>
    <hyperlink ref="Q18" r:id="rId5" display="https://www.tiktok.com/@my_expertmidwife"/>
    <hyperlink ref="Q20" r:id="rId6" display="https://www.tiktok.com/@sculptedbyaimeestore"/>
    <hyperlink ref="Q21" r:id="rId7" display="https://www.tiktok.com/@poppys332"/>
    <hyperlink ref="Q30" r:id="rId8" display="https://www.tiktok.com/@houseofamoruk"/>
    <hyperlink ref="Q33" r:id="rId9" display="https://www.tiktok.com/@acehitstcg"/>
    <hyperlink ref="Q38" r:id="rId10" display="https://www.tiktok.com/@wiggyscollectables"/>
    <hyperlink ref="Q43" r:id="rId11" display="https://www.tiktok.com/@rosexpress_delivery_serv"/>
    <hyperlink ref="Q50" r:id="rId12" display="https://www.tiktok.com/@bozlun_official"/>
    <hyperlink ref="Q51" r:id="rId13" display="https://www.tiktok.com/@blinghairfactorystore_"/>
    <hyperlink ref="Q60" r:id="rId14" display="https://www.tiktok.com/@taste_flavorco_uk"/>
    <hyperlink ref="Q61" r:id="rId15" display="https://www.tiktok.com/@pakwatandriedfruits"/>
    <hyperlink ref="Q65" r:id="rId16" display="https://www.tiktok.com/@bakhtar.market"/>
    <hyperlink ref="Q69" r:id="rId17" display="https://www.tiktok.com/@mellowpatchesuk"/>
    <hyperlink ref="Q71" r:id="rId18" display="https://www.tiktok.com/@roundway.supplements"/>
    <hyperlink ref="Q74" r:id="rId19" display="https://www.tiktok.com/@rhealsuperfoods"/>
    <hyperlink ref="Q79" r:id="rId20" display="https://www.tiktok.com/@kokomauk5"/>
    <hyperlink ref="Q80" r:id="rId21" display="https://www.tiktok.com/@jghjgmxq"/>
    <hyperlink ref="Q83" r:id="rId22" display="https://www.tiktok.com/@thclickmart"/>
    <hyperlink ref="Q88" r:id="rId23" display="https://www.tiktok.com/@dockandbay"/>
    <hyperlink ref="Q91" r:id="rId24" display="https://www.tiktok.com/@violetpap12"/>
    <hyperlink ref="Q92" r:id="rId25" display="https://www.tiktok.com/@thegifthouseuk"/>
    <hyperlink ref="Q98" r:id="rId26" display="https://www.tiktok.com/@iwealmt05"/>
    <hyperlink ref="Q99" r:id="rId27" display="https://www.tiktok.com/@8.eight84"/>
    <hyperlink ref="Q108" r:id="rId28" display="https://www.tiktok.com/@morphcostumes"/>
    <hyperlink ref="Q111" r:id="rId29" display="https://www.tiktok.com/@label.cutters"/>
    <hyperlink ref="Q119" r:id="rId30" display="https://www.tiktok.com/@bt.international1"/>
    <hyperlink ref="Q121" r:id="rId31" display="https://www.tiktok.com/@homelivestore"/>
    <hyperlink ref="Q131" r:id="rId32" display="https://www.tiktok.com/@silverbirchclothing"/>
    <hyperlink ref="Q132" r:id="rId33" display="https://www.tiktok.com/@macropick85"/>
    <hyperlink ref="Q141" r:id="rId34" display="https://www.tiktok.com/@bluestonesmodestfashion1"/>
    <hyperlink ref="Q145" r:id="rId35" display="https://www.tiktok.com/@manorfarmdogtreats"/>
    <hyperlink ref="Q152" r:id="rId36" display="https://www.tiktok.com/@thedeliciousdogfoodco"/>
    <hyperlink ref="Q169" r:id="rId37" display="https://www.tiktok.com/@puresport"/>
    <hyperlink ref="Q170" r:id="rId38" display="https://www.tiktok.com/@agilithor"/>
    <hyperlink ref="Q177" r:id="rId39" display="https://www.tiktok.com/@grace_bedding"/>
    <hyperlink ref="Q179" r:id="rId40" display="https://www.tiktok.com/@hafaauk"/>
    <hyperlink ref="Q189" r:id="rId41" display="https://www.tiktok.com/@mvalue_tools"/>
    <hyperlink ref="Q194" r:id="rId42" display="https://www.tiktok.com/@fantasticfactoryshop"/>
    <hyperlink ref="Q195" r:id="rId43" display="https://www.tiktok.com/@funkyfidgetsshop"/>
    <hyperlink ref="Q196" r:id="rId44" display="https://www.tiktok.com/@misthousefash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23.85" hidden="false" customHeight="false" outlineLevel="0" collapsed="false">
      <c r="A1" s="16" t="s">
        <v>744</v>
      </c>
      <c r="B1" s="16" t="s">
        <v>745</v>
      </c>
      <c r="C1" s="16" t="s">
        <v>746</v>
      </c>
      <c r="D1" s="16" t="s">
        <v>747</v>
      </c>
      <c r="E1" s="16" t="s">
        <v>748</v>
      </c>
      <c r="F1" s="16" t="s">
        <v>749</v>
      </c>
    </row>
    <row r="2" customFormat="false" ht="15" hidden="false" customHeight="false" outlineLevel="0" collapsed="false">
      <c r="A2" s="5" t="s">
        <v>49</v>
      </c>
      <c r="B2" s="5" t="n">
        <f aca="false">COUNTIF('UK Leads'!$A$2:$A$203,A2)</f>
        <v>8</v>
      </c>
      <c r="C2" s="5" t="n">
        <f aca="false">COUNTIFS('UK Leads'!$A$2:$A$203,A2,'UK Leads'!$N$2:$N$203,"High")</f>
        <v>5</v>
      </c>
      <c r="D2" s="5" t="n">
        <f aca="false">COUNTIFS('UK Leads'!$A$2:$A$203,A2,'UK Leads'!$P$2:$P$203,"&lt;&gt;")</f>
        <v>2</v>
      </c>
      <c r="E2" s="6" t="n">
        <f aca="false">AVERAGEIF('UK Leads'!$A$2:$A$203,A2,'UK Leads'!$F$2:$F$203)</f>
        <v>19663.7525</v>
      </c>
      <c r="F2" s="5" t="s">
        <v>750</v>
      </c>
    </row>
    <row r="3" customFormat="false" ht="15" hidden="false" customHeight="false" outlineLevel="0" collapsed="false">
      <c r="A3" s="5" t="s">
        <v>81</v>
      </c>
      <c r="B3" s="5" t="n">
        <f aca="false">COUNTIF('UK Leads'!$A$2:$A$203,A3)</f>
        <v>10</v>
      </c>
      <c r="C3" s="5" t="n">
        <f aca="false">COUNTIFS('UK Leads'!$A$2:$A$203,A3,'UK Leads'!$N$2:$N$203,"High")</f>
        <v>8</v>
      </c>
      <c r="D3" s="5" t="n">
        <f aca="false">COUNTIFS('UK Leads'!$A$2:$A$203,A3,'UK Leads'!$P$2:$P$203,"&lt;&gt;")</f>
        <v>3</v>
      </c>
      <c r="E3" s="6" t="n">
        <f aca="false">AVERAGEIF('UK Leads'!$A$2:$A$203,A3,'UK Leads'!$F$2:$F$203)</f>
        <v>20044.909</v>
      </c>
      <c r="F3" s="5" t="s">
        <v>750</v>
      </c>
    </row>
    <row r="4" customFormat="false" ht="15" hidden="false" customHeight="false" outlineLevel="0" collapsed="false">
      <c r="A4" s="5" t="s">
        <v>90</v>
      </c>
      <c r="B4" s="5" t="n">
        <f aca="false">COUNTIF('UK Leads'!$A$2:$A$203,A4)</f>
        <v>13</v>
      </c>
      <c r="C4" s="5" t="n">
        <f aca="false">COUNTIFS('UK Leads'!$A$2:$A$203,A4,'UK Leads'!$N$2:$N$203,"High")</f>
        <v>8</v>
      </c>
      <c r="D4" s="5" t="n">
        <f aca="false">COUNTIFS('UK Leads'!$A$2:$A$203,A4,'UK Leads'!$P$2:$P$203,"&lt;&gt;")</f>
        <v>3</v>
      </c>
      <c r="E4" s="6" t="n">
        <f aca="false">AVERAGEIF('UK Leads'!$A$2:$A$203,A4,'UK Leads'!$F$2:$F$203)</f>
        <v>22722.6376923077</v>
      </c>
      <c r="F4" s="5" t="s">
        <v>751</v>
      </c>
    </row>
    <row r="5" customFormat="false" ht="15" hidden="false" customHeight="false" outlineLevel="0" collapsed="false">
      <c r="A5" s="5" t="s">
        <v>172</v>
      </c>
      <c r="B5" s="5" t="n">
        <f aca="false">COUNTIF('UK Leads'!$A$2:$A$203,A5)</f>
        <v>10</v>
      </c>
      <c r="C5" s="5" t="n">
        <f aca="false">COUNTIFS('UK Leads'!$A$2:$A$203,A5,'UK Leads'!$N$2:$N$203,"High")</f>
        <v>10</v>
      </c>
      <c r="D5" s="5" t="n">
        <f aca="false">COUNTIFS('UK Leads'!$A$2:$A$203,A5,'UK Leads'!$P$2:$P$203,"&lt;&gt;")</f>
        <v>2</v>
      </c>
      <c r="E5" s="6" t="n">
        <f aca="false">AVERAGEIF('UK Leads'!$A$2:$A$203,A5,'UK Leads'!$F$2:$F$203)</f>
        <v>25242.337</v>
      </c>
      <c r="F5" s="5" t="s">
        <v>752</v>
      </c>
    </row>
    <row r="6" customFormat="false" ht="15" hidden="false" customHeight="false" outlineLevel="0" collapsed="false">
      <c r="A6" s="5" t="s">
        <v>200</v>
      </c>
      <c r="B6" s="5" t="n">
        <f aca="false">COUNTIF('UK Leads'!$A$2:$A$203,A6)</f>
        <v>4</v>
      </c>
      <c r="C6" s="5" t="n">
        <f aca="false">COUNTIFS('UK Leads'!$A$2:$A$203,A6,'UK Leads'!$N$2:$N$203,"High")</f>
        <v>3</v>
      </c>
      <c r="D6" s="5" t="n">
        <f aca="false">COUNTIFS('UK Leads'!$A$2:$A$203,A6,'UK Leads'!$P$2:$P$203,"&lt;&gt;")</f>
        <v>1</v>
      </c>
      <c r="E6" s="6" t="n">
        <f aca="false">AVERAGEIF('UK Leads'!$A$2:$A$203,A6,'UK Leads'!$F$2:$F$203)</f>
        <v>26612.0125</v>
      </c>
      <c r="F6" s="5" t="s">
        <v>753</v>
      </c>
    </row>
    <row r="7" customFormat="false" ht="15" hidden="false" customHeight="false" outlineLevel="0" collapsed="false">
      <c r="A7" s="5" t="s">
        <v>170</v>
      </c>
      <c r="B7" s="5" t="n">
        <f aca="false">COUNTIF('UK Leads'!$A$2:$A$203,A7)</f>
        <v>10</v>
      </c>
      <c r="C7" s="5" t="n">
        <f aca="false">COUNTIFS('UK Leads'!$A$2:$A$203,A7,'UK Leads'!$N$2:$N$203,"High")</f>
        <v>10</v>
      </c>
      <c r="D7" s="5" t="n">
        <f aca="false">COUNTIFS('UK Leads'!$A$2:$A$203,A7,'UK Leads'!$P$2:$P$203,"&lt;&gt;")</f>
        <v>2</v>
      </c>
      <c r="E7" s="6" t="n">
        <f aca="false">AVERAGEIF('UK Leads'!$A$2:$A$203,A7,'UK Leads'!$F$2:$F$203)</f>
        <v>18329.787</v>
      </c>
      <c r="F7" s="5" t="s">
        <v>754</v>
      </c>
    </row>
    <row r="8" customFormat="false" ht="15" hidden="false" customHeight="false" outlineLevel="0" collapsed="false">
      <c r="A8" s="5" t="s">
        <v>248</v>
      </c>
      <c r="B8" s="5" t="n">
        <f aca="false">COUNTIF('UK Leads'!$A$2:$A$203,A8)</f>
        <v>10</v>
      </c>
      <c r="C8" s="5" t="n">
        <f aca="false">COUNTIFS('UK Leads'!$A$2:$A$203,A8,'UK Leads'!$N$2:$N$203,"High")</f>
        <v>10</v>
      </c>
      <c r="D8" s="5" t="n">
        <f aca="false">COUNTIFS('UK Leads'!$A$2:$A$203,A8,'UK Leads'!$P$2:$P$203,"&lt;&gt;")</f>
        <v>3</v>
      </c>
      <c r="E8" s="6" t="n">
        <f aca="false">AVERAGEIF('UK Leads'!$A$2:$A$203,A8,'UK Leads'!$F$2:$F$203)</f>
        <v>18314.298</v>
      </c>
      <c r="F8" s="5" t="s">
        <v>755</v>
      </c>
    </row>
    <row r="9" customFormat="false" ht="15" hidden="false" customHeight="false" outlineLevel="0" collapsed="false">
      <c r="A9" s="5" t="s">
        <v>284</v>
      </c>
      <c r="B9" s="5" t="n">
        <f aca="false">COUNTIF('UK Leads'!$A$2:$A$203,A9)</f>
        <v>10</v>
      </c>
      <c r="C9" s="5" t="n">
        <f aca="false">COUNTIFS('UK Leads'!$A$2:$A$203,A9,'UK Leads'!$N$2:$N$203,"High")</f>
        <v>10</v>
      </c>
      <c r="D9" s="5" t="n">
        <f aca="false">COUNTIFS('UK Leads'!$A$2:$A$203,A9,'UK Leads'!$P$2:$P$203,"&lt;&gt;")</f>
        <v>3</v>
      </c>
      <c r="E9" s="6" t="n">
        <f aca="false">AVERAGEIF('UK Leads'!$A$2:$A$203,A9,'UK Leads'!$F$2:$F$203)</f>
        <v>16079.697</v>
      </c>
      <c r="F9" s="5" t="s">
        <v>756</v>
      </c>
    </row>
    <row r="10" customFormat="false" ht="15" hidden="false" customHeight="false" outlineLevel="0" collapsed="false">
      <c r="A10" s="5" t="s">
        <v>319</v>
      </c>
      <c r="B10" s="5" t="n">
        <f aca="false">COUNTIF('UK Leads'!$A$2:$A$203,A10)</f>
        <v>8</v>
      </c>
      <c r="C10" s="5" t="n">
        <f aca="false">COUNTIFS('UK Leads'!$A$2:$A$203,A10,'UK Leads'!$N$2:$N$203,"High")</f>
        <v>7</v>
      </c>
      <c r="D10" s="5" t="n">
        <f aca="false">COUNTIFS('UK Leads'!$A$2:$A$203,A10,'UK Leads'!$P$2:$P$203,"&lt;&gt;")</f>
        <v>3</v>
      </c>
      <c r="E10" s="6" t="n">
        <f aca="false">AVERAGEIF('UK Leads'!$A$2:$A$203,A10,'UK Leads'!$F$2:$F$203)</f>
        <v>21635.39375</v>
      </c>
      <c r="F10" s="5" t="s">
        <v>757</v>
      </c>
    </row>
    <row r="11" customFormat="false" ht="15" hidden="false" customHeight="false" outlineLevel="0" collapsed="false">
      <c r="A11" s="5" t="s">
        <v>58</v>
      </c>
      <c r="B11" s="5" t="n">
        <f aca="false">COUNTIF('UK Leads'!$A$2:$A$203,A11)</f>
        <v>11</v>
      </c>
      <c r="C11" s="5" t="n">
        <f aca="false">COUNTIFS('UK Leads'!$A$2:$A$203,A11,'UK Leads'!$N$2:$N$203,"High")</f>
        <v>8</v>
      </c>
      <c r="D11" s="5" t="n">
        <f aca="false">COUNTIFS('UK Leads'!$A$2:$A$203,A11,'UK Leads'!$P$2:$P$203,"&lt;&gt;")</f>
        <v>3</v>
      </c>
      <c r="E11" s="6" t="n">
        <f aca="false">AVERAGEIF('UK Leads'!$A$2:$A$203,A11,'UK Leads'!$F$2:$F$203)</f>
        <v>19759</v>
      </c>
      <c r="F11" s="5" t="s">
        <v>758</v>
      </c>
    </row>
    <row r="12" customFormat="false" ht="15" hidden="false" customHeight="false" outlineLevel="0" collapsed="false">
      <c r="A12" s="5" t="s">
        <v>381</v>
      </c>
      <c r="B12" s="5" t="n">
        <f aca="false">COUNTIF('UK Leads'!$A$2:$A$203,A12)</f>
        <v>9</v>
      </c>
      <c r="C12" s="5" t="n">
        <f aca="false">COUNTIFS('UK Leads'!$A$2:$A$203,A12,'UK Leads'!$N$2:$N$203,"High")</f>
        <v>5</v>
      </c>
      <c r="D12" s="5" t="n">
        <f aca="false">COUNTIFS('UK Leads'!$A$2:$A$203,A12,'UK Leads'!$P$2:$P$203,"&lt;&gt;")</f>
        <v>2</v>
      </c>
      <c r="E12" s="6" t="n">
        <f aca="false">AVERAGEIF('UK Leads'!$A$2:$A$203,A12,'UK Leads'!$F$2:$F$203)</f>
        <v>12408.89</v>
      </c>
      <c r="F12" s="5" t="s">
        <v>756</v>
      </c>
    </row>
    <row r="13" customFormat="false" ht="15" hidden="false" customHeight="false" outlineLevel="0" collapsed="false">
      <c r="A13" s="5" t="s">
        <v>419</v>
      </c>
      <c r="B13" s="5" t="n">
        <f aca="false">COUNTIF('UK Leads'!$A$2:$A$203,A13)</f>
        <v>10</v>
      </c>
      <c r="C13" s="5" t="n">
        <f aca="false">COUNTIFS('UK Leads'!$A$2:$A$203,A13,'UK Leads'!$N$2:$N$203,"High")</f>
        <v>7</v>
      </c>
      <c r="D13" s="5" t="n">
        <f aca="false">COUNTIFS('UK Leads'!$A$2:$A$203,A13,'UK Leads'!$P$2:$P$203,"&lt;&gt;")</f>
        <v>2</v>
      </c>
      <c r="E13" s="6" t="n">
        <f aca="false">AVERAGEIF('UK Leads'!$A$2:$A$203,A13,'UK Leads'!$F$2:$F$203)</f>
        <v>15190.315</v>
      </c>
      <c r="F13" s="5" t="s">
        <v>759</v>
      </c>
    </row>
    <row r="14" customFormat="false" ht="15" hidden="false" customHeight="false" outlineLevel="0" collapsed="false">
      <c r="A14" s="5" t="s">
        <v>149</v>
      </c>
      <c r="B14" s="5" t="n">
        <f aca="false">COUNTIF('UK Leads'!$A$2:$A$203,A14)</f>
        <v>9</v>
      </c>
      <c r="C14" s="5" t="n">
        <f aca="false">COUNTIFS('UK Leads'!$A$2:$A$203,A14,'UK Leads'!$N$2:$N$203,"High")</f>
        <v>5</v>
      </c>
      <c r="D14" s="5" t="n">
        <f aca="false">COUNTIFS('UK Leads'!$A$2:$A$203,A14,'UK Leads'!$P$2:$P$203,"&lt;&gt;")</f>
        <v>2</v>
      </c>
      <c r="E14" s="6" t="n">
        <f aca="false">AVERAGEIF('UK Leads'!$A$2:$A$203,A14,'UK Leads'!$F$2:$F$203)</f>
        <v>22517.8088888889</v>
      </c>
      <c r="F14" s="5" t="s">
        <v>752</v>
      </c>
    </row>
    <row r="15" customFormat="false" ht="15" hidden="false" customHeight="false" outlineLevel="0" collapsed="false">
      <c r="A15" s="5" t="s">
        <v>428</v>
      </c>
      <c r="B15" s="5" t="n">
        <f aca="false">COUNTIF('UK Leads'!$A$2:$A$203,A15)</f>
        <v>10</v>
      </c>
      <c r="C15" s="5" t="n">
        <f aca="false">COUNTIFS('UK Leads'!$A$2:$A$203,A15,'UK Leads'!$N$2:$N$203,"High")</f>
        <v>9</v>
      </c>
      <c r="D15" s="5" t="n">
        <f aca="false">COUNTIFS('UK Leads'!$A$2:$A$203,A15,'UK Leads'!$P$2:$P$203,"&lt;&gt;")</f>
        <v>2</v>
      </c>
      <c r="E15" s="6" t="n">
        <f aca="false">AVERAGEIF('UK Leads'!$A$2:$A$203,A15,'UK Leads'!$F$2:$F$203)</f>
        <v>15959.214</v>
      </c>
      <c r="F15" s="5" t="s">
        <v>755</v>
      </c>
    </row>
    <row r="16" customFormat="false" ht="15" hidden="false" customHeight="false" outlineLevel="0" collapsed="false">
      <c r="A16" s="5" t="s">
        <v>522</v>
      </c>
      <c r="B16" s="5" t="n">
        <f aca="false">COUNTIF('UK Leads'!$A$2:$A$203,A16)</f>
        <v>10</v>
      </c>
      <c r="C16" s="5" t="n">
        <f aca="false">COUNTIFS('UK Leads'!$A$2:$A$203,A16,'UK Leads'!$N$2:$N$203,"High")</f>
        <v>9</v>
      </c>
      <c r="D16" s="5" t="n">
        <f aca="false">COUNTIFS('UK Leads'!$A$2:$A$203,A16,'UK Leads'!$P$2:$P$203,"&lt;&gt;")</f>
        <v>1</v>
      </c>
      <c r="E16" s="6" t="n">
        <f aca="false">AVERAGEIF('UK Leads'!$A$2:$A$203,A16,'UK Leads'!$F$2:$F$203)</f>
        <v>12367.538</v>
      </c>
      <c r="F16" s="5" t="s">
        <v>752</v>
      </c>
    </row>
    <row r="17" customFormat="false" ht="15" hidden="false" customHeight="false" outlineLevel="0" collapsed="false">
      <c r="A17" s="5" t="s">
        <v>551</v>
      </c>
      <c r="B17" s="5" t="n">
        <f aca="false">COUNTIF('UK Leads'!$A$2:$A$203,A17)</f>
        <v>10</v>
      </c>
      <c r="C17" s="5" t="n">
        <f aca="false">COUNTIFS('UK Leads'!$A$2:$A$203,A17,'UK Leads'!$N$2:$N$203,"High")</f>
        <v>7</v>
      </c>
      <c r="D17" s="5" t="n">
        <f aca="false">COUNTIFS('UK Leads'!$A$2:$A$203,A17,'UK Leads'!$P$2:$P$203,"&lt;&gt;")</f>
        <v>2</v>
      </c>
      <c r="E17" s="6" t="n">
        <f aca="false">AVERAGEIF('UK Leads'!$A$2:$A$203,A17,'UK Leads'!$F$2:$F$203)</f>
        <v>25898.949</v>
      </c>
      <c r="F17" s="5" t="s">
        <v>759</v>
      </c>
    </row>
    <row r="18" customFormat="false" ht="15" hidden="false" customHeight="false" outlineLevel="0" collapsed="false">
      <c r="A18" s="5" t="s">
        <v>208</v>
      </c>
      <c r="B18" s="5" t="n">
        <f aca="false">COUNTIF('UK Leads'!$A$2:$A$203,A18)</f>
        <v>10</v>
      </c>
      <c r="C18" s="5" t="n">
        <f aca="false">COUNTIFS('UK Leads'!$A$2:$A$203,A18,'UK Leads'!$N$2:$N$203,"High")</f>
        <v>8</v>
      </c>
      <c r="D18" s="5" t="n">
        <f aca="false">COUNTIFS('UK Leads'!$A$2:$A$203,A18,'UK Leads'!$P$2:$P$203,"&lt;&gt;")</f>
        <v>0</v>
      </c>
      <c r="E18" s="6" t="n">
        <f aca="false">AVERAGEIF('UK Leads'!$A$2:$A$203,A18,'UK Leads'!$F$2:$F$203)</f>
        <v>10610.647</v>
      </c>
      <c r="F18" s="5" t="s">
        <v>760</v>
      </c>
    </row>
    <row r="19" customFormat="false" ht="15" hidden="false" customHeight="false" outlineLevel="0" collapsed="false">
      <c r="A19" s="5" t="s">
        <v>353</v>
      </c>
      <c r="B19" s="5" t="n">
        <f aca="false">COUNTIF('UK Leads'!$A$2:$A$203,A19)</f>
        <v>8</v>
      </c>
      <c r="C19" s="5" t="n">
        <f aca="false">COUNTIFS('UK Leads'!$A$2:$A$203,A19,'UK Leads'!$N$2:$N$203,"High")</f>
        <v>7</v>
      </c>
      <c r="D19" s="5" t="n">
        <f aca="false">COUNTIFS('UK Leads'!$A$2:$A$203,A19,'UK Leads'!$P$2:$P$203,"&lt;&gt;")</f>
        <v>2</v>
      </c>
      <c r="E19" s="6" t="n">
        <f aca="false">AVERAGEIF('UK Leads'!$A$2:$A$203,A19,'UK Leads'!$F$2:$F$203)</f>
        <v>29195.245</v>
      </c>
      <c r="F19" s="5" t="s">
        <v>755</v>
      </c>
    </row>
    <row r="20" customFormat="false" ht="15" hidden="false" customHeight="false" outlineLevel="0" collapsed="false">
      <c r="A20" s="5" t="s">
        <v>404</v>
      </c>
      <c r="B20" s="5" t="n">
        <f aca="false">COUNTIF('UK Leads'!$A$2:$A$203,A20)</f>
        <v>10</v>
      </c>
      <c r="C20" s="5" t="n">
        <f aca="false">COUNTIFS('UK Leads'!$A$2:$A$203,A20,'UK Leads'!$N$2:$N$203,"High")</f>
        <v>10</v>
      </c>
      <c r="D20" s="5" t="n">
        <f aca="false">COUNTIFS('UK Leads'!$A$2:$A$203,A20,'UK Leads'!$P$2:$P$203,"&lt;&gt;")</f>
        <v>2</v>
      </c>
      <c r="E20" s="6" t="n">
        <f aca="false">AVERAGEIF('UK Leads'!$A$2:$A$203,A20,'UK Leads'!$F$2:$F$203)</f>
        <v>19439.872</v>
      </c>
      <c r="F20" s="5" t="s">
        <v>761</v>
      </c>
    </row>
    <row r="21" customFormat="false" ht="15" hidden="false" customHeight="false" outlineLevel="0" collapsed="false">
      <c r="A21" s="5" t="s">
        <v>667</v>
      </c>
      <c r="B21" s="5" t="n">
        <f aca="false">COUNTIF('UK Leads'!$A$2:$A$203,A21)</f>
        <v>9</v>
      </c>
      <c r="C21" s="5" t="n">
        <f aca="false">COUNTIFS('UK Leads'!$A$2:$A$203,A21,'UK Leads'!$N$2:$N$203,"High")</f>
        <v>5</v>
      </c>
      <c r="D21" s="5" t="n">
        <f aca="false">COUNTIFS('UK Leads'!$A$2:$A$203,A21,'UK Leads'!$P$2:$P$203,"&lt;&gt;")</f>
        <v>1</v>
      </c>
      <c r="E21" s="6" t="n">
        <f aca="false">AVERAGEIF('UK Leads'!$A$2:$A$203,A21,'UK Leads'!$F$2:$F$203)</f>
        <v>24664.4666666667</v>
      </c>
      <c r="F21" s="5" t="s">
        <v>759</v>
      </c>
    </row>
    <row r="22" customFormat="false" ht="15" hidden="false" customHeight="false" outlineLevel="0" collapsed="false">
      <c r="A22" s="5" t="s">
        <v>697</v>
      </c>
      <c r="B22" s="5" t="n">
        <f aca="false">COUNTIF('UK Leads'!$A$2:$A$203,A22)</f>
        <v>5</v>
      </c>
      <c r="C22" s="5" t="n">
        <f aca="false">COUNTIFS('UK Leads'!$A$2:$A$203,A22,'UK Leads'!$N$2:$N$203,"High")</f>
        <v>4</v>
      </c>
      <c r="D22" s="5" t="n">
        <f aca="false">COUNTIFS('UK Leads'!$A$2:$A$203,A22,'UK Leads'!$P$2:$P$203,"&lt;&gt;")</f>
        <v>2</v>
      </c>
      <c r="E22" s="6" t="n">
        <f aca="false">AVERAGEIF('UK Leads'!$A$2:$A$203,A22,'UK Leads'!$F$2:$F$203)</f>
        <v>28048.286</v>
      </c>
      <c r="F22" s="5" t="s">
        <v>757</v>
      </c>
    </row>
    <row r="23" customFormat="false" ht="15" hidden="false" customHeight="false" outlineLevel="0" collapsed="false">
      <c r="A23" s="5" t="s">
        <v>421</v>
      </c>
      <c r="B23" s="5" t="n">
        <f aca="false">COUNTIF('UK Leads'!$A$2:$A$203,A23)</f>
        <v>8</v>
      </c>
      <c r="C23" s="5" t="n">
        <f aca="false">COUNTIFS('UK Leads'!$A$2:$A$203,A23,'UK Leads'!$N$2:$N$203,"High")</f>
        <v>8</v>
      </c>
      <c r="D23" s="5" t="n">
        <f aca="false">COUNTIFS('UK Leads'!$A$2:$A$203,A23,'UK Leads'!$P$2:$P$203,"&lt;&gt;")</f>
        <v>1</v>
      </c>
      <c r="E23" s="6" t="n">
        <f aca="false">AVERAGEIF('UK Leads'!$A$2:$A$203,A23,'UK Leads'!$F$2:$F$203)</f>
        <v>15809.6975</v>
      </c>
      <c r="F23" s="5" t="s">
        <v>762</v>
      </c>
    </row>
    <row r="24" customFormat="false" ht="15" hidden="false" customHeight="false" outlineLevel="0" collapsed="false">
      <c r="A24" s="17" t="s">
        <v>763</v>
      </c>
      <c r="B24" s="17" t="n">
        <f aca="false">SUM(B2:B23)</f>
        <v>202</v>
      </c>
      <c r="C24" s="17" t="n">
        <f aca="false">SUM(C2:C23)</f>
        <v>163</v>
      </c>
      <c r="D24" s="17" t="n">
        <f aca="false">SUM(D2:D23)</f>
        <v>44</v>
      </c>
      <c r="E24" s="18"/>
      <c r="F24" s="17"/>
    </row>
    <row r="25" customFormat="false" ht="15" hidden="false" customHeight="false" outlineLevel="0" collapsed="false">
      <c r="A25" s="5" t="s">
        <v>451</v>
      </c>
      <c r="B25" s="5" t="n">
        <v>0</v>
      </c>
      <c r="C25" s="5" t="n">
        <v>0</v>
      </c>
      <c r="D25" s="5" t="n">
        <v>0</v>
      </c>
      <c r="E25" s="6"/>
      <c r="F25" s="5" t="s">
        <v>764</v>
      </c>
    </row>
    <row r="26" customFormat="false" ht="15" hidden="false" customHeight="false" outlineLevel="0" collapsed="false">
      <c r="A26" s="5" t="s">
        <v>765</v>
      </c>
      <c r="B26" s="5" t="n">
        <v>0</v>
      </c>
      <c r="C26" s="5" t="n">
        <v>0</v>
      </c>
      <c r="D26" s="5" t="n">
        <v>0</v>
      </c>
      <c r="E26" s="6"/>
      <c r="F26" s="5" t="s">
        <v>764</v>
      </c>
    </row>
    <row r="27" customFormat="false" ht="15" hidden="false" customHeight="false" outlineLevel="0" collapsed="false">
      <c r="A27" s="5" t="s">
        <v>766</v>
      </c>
      <c r="B27" s="5" t="n">
        <v>0</v>
      </c>
      <c r="C27" s="5" t="n">
        <v>0</v>
      </c>
      <c r="D27" s="5" t="n">
        <v>0</v>
      </c>
      <c r="E27" s="6"/>
      <c r="F27" s="5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2026-10-08T20:09:33Z</dcterms:created>
  <dc:creator>openpyxl</dc:creator>
  <dc:description/>
  <dc:language>en-US</dc:language>
  <cp:lastModifiedBy/>
  <dcterms:modified xsi:type="dcterms:W3CDTF">2026-10-08T20:09:34Z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